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omments4.xml" ContentType="application/vnd.openxmlformats-officedocument.spreadsheetml.comment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aush\Downloads\files\"/>
    </mc:Choice>
  </mc:AlternateContent>
  <xr:revisionPtr revIDLastSave="0" documentId="13_ncr:1_{DF4ACF1D-873A-4BA8-9B37-F9D67460BFC2}" xr6:coauthVersionLast="47" xr6:coauthVersionMax="47" xr10:uidLastSave="{00000000-0000-0000-0000-000000000000}"/>
  <bookViews>
    <workbookView xWindow="-110" yWindow="-110" windowWidth="19420" windowHeight="10300" tabRatio="500" firstSheet="3" activeTab="5" xr2:uid="{00000000-000D-0000-FFFF-FFFF00000000}"/>
  </bookViews>
  <sheets>
    <sheet name="Cover" sheetId="1" r:id="rId1"/>
    <sheet name="3-Statement Model" sheetId="2" r:id="rId2"/>
    <sheet name="Supporting Schedules" sheetId="3" r:id="rId3"/>
    <sheet name="Segment and Margin Analysis" sheetId="4" r:id="rId4"/>
    <sheet name="Valuation" sheetId="5" r:id="rId5"/>
    <sheet name="StagingData" sheetId="8" r:id="rId6"/>
    <sheet name="PQ Staging" sheetId="6" r:id="rId7"/>
    <sheet name="Power BI Source Data" sheetId="7" r:id="rId8"/>
  </sheets>
  <definedNames>
    <definedName name="CurrentQuarter">'PQ Staging'!$A$5</definedName>
    <definedName name="ExternalData_1" localSheetId="5" hidden="1">StagingData!$A$1:$C$18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9" i="7" l="1"/>
  <c r="D21" i="7"/>
  <c r="C21" i="7"/>
  <c r="D20" i="7"/>
  <c r="C20" i="7"/>
  <c r="D19" i="7"/>
  <c r="C19" i="7"/>
  <c r="D18" i="7"/>
  <c r="C18" i="7"/>
  <c r="D17" i="7"/>
  <c r="C17" i="7"/>
  <c r="D16" i="7"/>
  <c r="C16" i="7"/>
  <c r="B80" i="5"/>
  <c r="B37" i="7" s="1"/>
  <c r="B76" i="5"/>
  <c r="B75" i="5"/>
  <c r="D50" i="5"/>
  <c r="E50" i="5" s="1"/>
  <c r="F50" i="5" s="1"/>
  <c r="G50" i="5" s="1"/>
  <c r="C50" i="5"/>
  <c r="B24" i="5"/>
  <c r="B26" i="5" s="1"/>
  <c r="B23" i="5"/>
  <c r="B22" i="5"/>
  <c r="B25" i="5" s="1"/>
  <c r="B12" i="5"/>
  <c r="C46" i="4"/>
  <c r="B46" i="4"/>
  <c r="D46" i="4" s="1"/>
  <c r="C45" i="4"/>
  <c r="B45" i="4"/>
  <c r="F44" i="4"/>
  <c r="C44" i="4"/>
  <c r="C47" i="4" s="1"/>
  <c r="B44" i="4"/>
  <c r="B47" i="4" s="1"/>
  <c r="D24" i="4"/>
  <c r="E21" i="7" s="1"/>
  <c r="C24" i="4"/>
  <c r="F46" i="4" s="1"/>
  <c r="B24" i="4"/>
  <c r="D23" i="4"/>
  <c r="E19" i="7" s="1"/>
  <c r="C23" i="4"/>
  <c r="F45" i="4" s="1"/>
  <c r="B23" i="4"/>
  <c r="D22" i="4"/>
  <c r="E17" i="7" s="1"/>
  <c r="C22" i="4"/>
  <c r="E16" i="7" s="1"/>
  <c r="B22" i="4"/>
  <c r="D19" i="4"/>
  <c r="G47" i="4" s="1"/>
  <c r="B58" i="4" s="1"/>
  <c r="C19" i="4"/>
  <c r="F47" i="4" s="1"/>
  <c r="B57" i="4" s="1"/>
  <c r="B19" i="4"/>
  <c r="D13" i="4"/>
  <c r="D26" i="4" s="1"/>
  <c r="C13" i="4"/>
  <c r="B13" i="4"/>
  <c r="C61" i="3"/>
  <c r="B61" i="3"/>
  <c r="C60" i="3"/>
  <c r="B60" i="3"/>
  <c r="B62" i="3" s="1"/>
  <c r="C59" i="3"/>
  <c r="C44" i="3"/>
  <c r="B44" i="3"/>
  <c r="B36" i="3"/>
  <c r="B42" i="3" s="1"/>
  <c r="B43" i="3" s="1"/>
  <c r="B45" i="3" s="1"/>
  <c r="C16" i="3"/>
  <c r="C17" i="3" s="1"/>
  <c r="C12" i="3"/>
  <c r="B12" i="3"/>
  <c r="C11" i="3"/>
  <c r="B11" i="3"/>
  <c r="C10" i="3"/>
  <c r="C13" i="3" s="1"/>
  <c r="C15" i="3" s="1"/>
  <c r="B10" i="3"/>
  <c r="B13" i="3" s="1"/>
  <c r="C90" i="2"/>
  <c r="B90" i="2"/>
  <c r="C83" i="2"/>
  <c r="B83" i="2"/>
  <c r="C60" i="2"/>
  <c r="B60" i="2"/>
  <c r="B52" i="2"/>
  <c r="C47" i="2"/>
  <c r="C52" i="2" s="1"/>
  <c r="B47" i="2"/>
  <c r="B33" i="2"/>
  <c r="E8" i="7" s="1"/>
  <c r="B24" i="2"/>
  <c r="C8" i="7" s="1"/>
  <c r="D22" i="2"/>
  <c r="C22" i="2"/>
  <c r="B22" i="2"/>
  <c r="D13" i="2"/>
  <c r="B51" i="5" s="1"/>
  <c r="C13" i="2"/>
  <c r="C24" i="2" s="1"/>
  <c r="B13" i="2"/>
  <c r="B8" i="7" s="1"/>
  <c r="C9" i="7" l="1"/>
  <c r="C28" i="2"/>
  <c r="C31" i="2" s="1"/>
  <c r="C33" i="2"/>
  <c r="E9" i="7" s="1"/>
  <c r="C62" i="2"/>
  <c r="D64" i="2"/>
  <c r="F82" i="4"/>
  <c r="E82" i="4"/>
  <c r="B59" i="4"/>
  <c r="E46" i="4"/>
  <c r="E47" i="4"/>
  <c r="E45" i="4"/>
  <c r="B57" i="5"/>
  <c r="C51" i="5"/>
  <c r="B63" i="3"/>
  <c r="F75" i="4"/>
  <c r="E75" i="4"/>
  <c r="C63" i="3"/>
  <c r="C65" i="3" s="1"/>
  <c r="D47" i="4"/>
  <c r="D45" i="4"/>
  <c r="D24" i="2"/>
  <c r="C34" i="3"/>
  <c r="C62" i="3"/>
  <c r="D27" i="4"/>
  <c r="E44" i="4"/>
  <c r="G45" i="4"/>
  <c r="D52" i="4" s="1"/>
  <c r="B43" i="5"/>
  <c r="B56" i="5" s="1"/>
  <c r="E20" i="7"/>
  <c r="B62" i="2"/>
  <c r="C64" i="2" s="1"/>
  <c r="E13" i="2"/>
  <c r="B28" i="2"/>
  <c r="B31" i="2" s="1"/>
  <c r="G44" i="4"/>
  <c r="D51" i="4" s="1"/>
  <c r="G46" i="4"/>
  <c r="D53" i="4" s="1"/>
  <c r="B9" i="7"/>
  <c r="B10" i="7"/>
  <c r="E18" i="7"/>
  <c r="D44" i="4"/>
  <c r="B42" i="5"/>
  <c r="B55" i="5" s="1"/>
  <c r="D8" i="7" l="1"/>
  <c r="B34" i="2"/>
  <c r="C56" i="5"/>
  <c r="D51" i="5"/>
  <c r="C57" i="5"/>
  <c r="C55" i="5"/>
  <c r="C36" i="3"/>
  <c r="C38" i="3" s="1"/>
  <c r="B52" i="4"/>
  <c r="C52" i="4" s="1"/>
  <c r="E52" i="4"/>
  <c r="B51" i="4"/>
  <c r="C51" i="4" s="1"/>
  <c r="B76" i="4" s="1"/>
  <c r="E51" i="4"/>
  <c r="C10" i="7"/>
  <c r="D33" i="2"/>
  <c r="E24" i="2"/>
  <c r="D28" i="2"/>
  <c r="B74" i="2"/>
  <c r="B77" i="2" s="1"/>
  <c r="C34" i="2"/>
  <c r="D9" i="7"/>
  <c r="B53" i="4"/>
  <c r="C53" i="4" s="1"/>
  <c r="E53" i="4"/>
  <c r="C77" i="4" l="1"/>
  <c r="E54" i="4"/>
  <c r="C27" i="7"/>
  <c r="D77" i="4"/>
  <c r="C42" i="3"/>
  <c r="C43" i="3" s="1"/>
  <c r="C45" i="3" s="1"/>
  <c r="F76" i="4"/>
  <c r="D56" i="5"/>
  <c r="D52" i="5"/>
  <c r="E51" i="5"/>
  <c r="D57" i="5"/>
  <c r="D55" i="5"/>
  <c r="D31" i="2"/>
  <c r="B16" i="5"/>
  <c r="E10" i="7"/>
  <c r="B40" i="5"/>
  <c r="C28" i="7"/>
  <c r="C79" i="4"/>
  <c r="D79" i="4"/>
  <c r="C80" i="4"/>
  <c r="B29" i="7"/>
  <c r="D80" i="4"/>
  <c r="C76" i="4"/>
  <c r="C54" i="4"/>
  <c r="B60" i="4" s="1"/>
  <c r="B61" i="4" s="1"/>
  <c r="B27" i="7"/>
  <c r="D76" i="4"/>
  <c r="C81" i="4"/>
  <c r="C29" i="7"/>
  <c r="D81" i="4"/>
  <c r="B98" i="2"/>
  <c r="B93" i="2"/>
  <c r="B96" i="2" s="1"/>
  <c r="C95" i="2" s="1"/>
  <c r="B49" i="3"/>
  <c r="C78" i="4"/>
  <c r="B28" i="7"/>
  <c r="D78" i="4"/>
  <c r="C74" i="2" l="1"/>
  <c r="C77" i="2" s="1"/>
  <c r="D34" i="2"/>
  <c r="D10" i="7"/>
  <c r="E31" i="2"/>
  <c r="D53" i="5"/>
  <c r="D54" i="5" s="1"/>
  <c r="D58" i="5" s="1"/>
  <c r="B52" i="5"/>
  <c r="C52" i="5"/>
  <c r="B77" i="4"/>
  <c r="F77" i="4"/>
  <c r="B41" i="5"/>
  <c r="B17" i="5"/>
  <c r="B28" i="5" s="1"/>
  <c r="B45" i="5" s="1"/>
  <c r="F51" i="5"/>
  <c r="E57" i="5"/>
  <c r="E55" i="5"/>
  <c r="E56" i="5"/>
  <c r="E52" i="5"/>
  <c r="C53" i="5" l="1"/>
  <c r="C54" i="5" s="1"/>
  <c r="C58" i="5" s="1"/>
  <c r="G62" i="5"/>
  <c r="C62" i="5"/>
  <c r="F62" i="5"/>
  <c r="B38" i="7"/>
  <c r="E62" i="5"/>
  <c r="D62" i="5"/>
  <c r="D63" i="5" s="1"/>
  <c r="B78" i="4"/>
  <c r="F78" i="4"/>
  <c r="B53" i="5"/>
  <c r="B54" i="5"/>
  <c r="B58" i="5" s="1"/>
  <c r="E53" i="5"/>
  <c r="E54" i="5" s="1"/>
  <c r="E58" i="5" s="1"/>
  <c r="E63" i="5" s="1"/>
  <c r="F57" i="5"/>
  <c r="F55" i="5"/>
  <c r="F56" i="5"/>
  <c r="F52" i="5"/>
  <c r="G51" i="5"/>
  <c r="C98" i="2"/>
  <c r="C93" i="2"/>
  <c r="C96" i="2" s="1"/>
  <c r="C100" i="2" s="1"/>
  <c r="C49" i="3"/>
  <c r="C63" i="5" l="1"/>
  <c r="G56" i="5"/>
  <c r="G52" i="5"/>
  <c r="G57" i="5"/>
  <c r="G55" i="5"/>
  <c r="F53" i="5"/>
  <c r="F54" i="5"/>
  <c r="F58" i="5" s="1"/>
  <c r="F63" i="5" s="1"/>
  <c r="B79" i="4"/>
  <c r="F79" i="4"/>
  <c r="G54" i="5" l="1"/>
  <c r="G58" i="5" s="1"/>
  <c r="G53" i="5"/>
  <c r="C89" i="5"/>
  <c r="C90" i="5"/>
  <c r="C91" i="5"/>
  <c r="F89" i="5"/>
  <c r="B80" i="4"/>
  <c r="F80" i="4"/>
  <c r="B90" i="5"/>
  <c r="F87" i="5"/>
  <c r="B91" i="5"/>
  <c r="F88" i="5"/>
  <c r="D87" i="5"/>
  <c r="E90" i="5"/>
  <c r="E87" i="5"/>
  <c r="F90" i="5"/>
  <c r="E88" i="5"/>
  <c r="F91" i="5"/>
  <c r="E89" i="5"/>
  <c r="C88" i="5"/>
  <c r="D91" i="5"/>
  <c r="B67" i="5" l="1"/>
  <c r="B68" i="5" s="1"/>
  <c r="B69" i="5" s="1"/>
  <c r="G63" i="5"/>
  <c r="B65" i="5" s="1"/>
  <c r="B71" i="5" s="1"/>
  <c r="C87" i="5"/>
  <c r="B87" i="5"/>
  <c r="D89" i="5"/>
  <c r="B89" i="5"/>
  <c r="E91" i="5"/>
  <c r="B81" i="4"/>
  <c r="F81" i="4"/>
  <c r="B88" i="5"/>
  <c r="D90" i="5"/>
  <c r="D88" i="5"/>
  <c r="B35" i="7" l="1"/>
  <c r="B77" i="5"/>
  <c r="B79" i="5" s="1"/>
  <c r="B72" i="5"/>
  <c r="B36" i="7" l="1"/>
  <c r="B81" i="5"/>
  <c r="B40"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0" authorId="0" shapeId="0" xr:uid="{00000000-0006-0000-0100-000005000000}">
      <text>
        <r>
          <rPr>
            <sz val="10"/>
            <rFont val="Arial"/>
            <family val="2"/>
          </rPr>
          <t>MCD FY2025 10-K, Consolidated Operating Results table.</t>
        </r>
      </text>
    </comment>
    <comment ref="C56" authorId="0" shapeId="0" xr:uid="{00000000-0006-0000-0100-000002000000}">
      <text>
        <r>
          <rPr>
            <sz val="10"/>
            <rFont val="Arial"/>
            <family val="2"/>
          </rPr>
          <t>MCD Q4 2025 earnings release, Exhibit 99.1. See Supporting Schedules tab for the debt roll-forward.</t>
        </r>
      </text>
    </comment>
    <comment ref="C62" authorId="0" shapeId="0" xr:uid="{00000000-0006-0000-0100-000003000000}">
      <text>
        <r>
          <rPr>
            <sz val="10"/>
            <rFont val="Arial"/>
            <family val="2"/>
          </rPr>
          <t>Computed as total assets minus total liabilities, so the statement ties by construction. McDonald's reports a deficit here because treasury stock buybacks over many years exceed retained earnings; this reflects capital returned to shareholders, not financial distress, and does not affect the company's ability to service its debt, which is paid from operating cash flow.</t>
        </r>
      </text>
    </comment>
    <comment ref="B74" authorId="0" shapeId="0" xr:uid="{00000000-0006-0000-0100-000001000000}">
      <text>
        <r>
          <rPr>
            <sz val="10"/>
            <rFont val="Arial"/>
            <family val="2"/>
          </rPr>
          <t>Linked from the Income Statement above. Net income is the starting point of the operating section, then adjusted for non-cash items such as depreciation.</t>
        </r>
      </text>
    </comment>
    <comment ref="C100" authorId="0" shapeId="0" xr:uid="{00000000-0006-0000-0100-000004000000}">
      <text>
        <r>
          <rPr>
            <sz val="10"/>
            <rFont val="Arial"/>
            <family val="2"/>
          </rPr>
          <t>This ties the ending cash from the Cash Flow Statement above directly to the Balance Sheet's cash line. A $1M difference here traces to a rounding difference in McDonald's own disclosed net income figures, not a modeling error.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13" authorId="0" shapeId="0" xr:uid="{00000000-0006-0000-0200-000004000000}">
      <text>
        <r>
          <rPr>
            <sz val="10"/>
            <rFont val="Arial"/>
            <family val="2"/>
          </rPr>
          <t>Cash is excluded deliberately; it is not an operating working capital item, it is the output the model is solving for.</t>
        </r>
      </text>
    </comment>
    <comment ref="C17" authorId="0" shapeId="0" xr:uid="{00000000-0006-0000-0200-000005000000}">
      <text>
        <r>
          <rPr>
            <sz val="10"/>
            <rFont val="Arial"/>
            <family val="2"/>
          </rPr>
          <t>This variance exists because this schedule tracks three summarized lines, while McDonald's reported figure reflects more granular detail, including accrued payroll and prepaid items, not broken out in the condensed earnings release used to source this workbook.</t>
        </r>
      </text>
    </comment>
    <comment ref="B34" authorId="0" shapeId="0" xr:uid="{00000000-0006-0000-0200-000001000000}">
      <text>
        <r>
          <rPr>
            <sz val="10"/>
            <rFont val="Arial"/>
            <family val="2"/>
          </rPr>
          <t>FY2023 year-end long-term debt balance, per MCD FY2024 10-K.</t>
        </r>
      </text>
    </comment>
    <comment ref="C35" authorId="0" shapeId="0" xr:uid="{00000000-0006-0000-0200-000006000000}">
      <text>
        <r>
          <rPr>
            <sz val="10"/>
            <rFont val="Arial"/>
            <family val="2"/>
          </rPr>
          <t>Per the FY2025 10-K, the increase was primarily the effect of foreign exchange rate changes on foreign currency-denominated debt, not new net borrowing.</t>
        </r>
      </text>
    </comment>
    <comment ref="B59" authorId="0" shapeId="0" xr:uid="{00000000-0006-0000-0200-000002000000}">
      <text>
        <r>
          <rPr>
            <sz val="10"/>
            <rFont val="Arial"/>
            <family val="2"/>
          </rPr>
          <t>FY2023 year-end net PP&amp;E balance, per MCD FY2024 10-K. FY2025's beginning balance links to FY2024's ending balance on the 3-Statement Model tab.</t>
        </r>
      </text>
    </comment>
    <comment ref="B61" authorId="0" shapeId="0" xr:uid="{00000000-0006-0000-0200-000003000000}">
      <text>
        <r>
          <rPr>
            <sz val="10"/>
            <rFont val="Arial"/>
            <family val="2"/>
          </rPr>
          <t>This links only the SG&amp;A-level depreciation line; restaurant-level depreciation embedded in operating expenses (about $1.7B in FY2025 per the 10-K) is captured instead in the roll-forward's plug line below.</t>
        </r>
      </text>
    </comment>
    <comment ref="C62" authorId="0" shapeId="0" xr:uid="{00000000-0006-0000-0200-000007000000}">
      <text>
        <r>
          <rPr>
            <sz val="10"/>
            <rFont val="Arial"/>
            <family val="2"/>
          </rPr>
          <t>Computed so ending net PP&amp;E ties exactly to the 3-Statement Model tab's balance sheet figure.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3" authorId="0" shapeId="0" xr:uid="{00000000-0006-0000-0300-000001000000}">
      <text>
        <r>
          <rPr>
            <sz val="10"/>
            <rFont val="Arial"/>
            <family val="2"/>
          </rPr>
          <t>Should tie to the 3-Statement Model tab's total revenue less other revenues.</t>
        </r>
      </text>
    </comment>
    <comment ref="D19" authorId="0" shapeId="0" xr:uid="{00000000-0006-0000-0300-000002000000}">
      <text>
        <r>
          <rPr>
            <sz val="10"/>
            <rFont val="Arial"/>
            <family val="2"/>
          </rPr>
          <t>Should tie to the 3-Statement Model tab's operating income.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9" authorId="0" shapeId="0" xr:uid="{00000000-0006-0000-0400-000001000000}">
      <text>
        <r>
          <rPr>
            <sz val="10"/>
            <rFont val="Arial"/>
            <family val="2"/>
          </rPr>
          <t>10-year U.S. Treasury constant maturity yield, September 8, 2026.</t>
        </r>
      </text>
    </comment>
    <comment ref="B10" authorId="0" shapeId="0" xr:uid="{00000000-0006-0000-0400-000002000000}">
      <text>
        <r>
          <rPr>
            <sz val="10"/>
            <rFont val="Arial"/>
            <family val="2"/>
          </rPr>
          <t>Beta estimates for MCD vary by provider and window, from about 0.10 to 0.62. 0.60 is used here as a reasoned point toward the upper end of that range, since a DCF should not understate risk.</t>
        </r>
      </text>
    </comment>
    <comment ref="B11" authorId="0" shapeId="0" xr:uid="{00000000-0006-0000-0400-000003000000}">
      <text>
        <r>
          <rPr>
            <sz val="10"/>
            <rFont val="Arial"/>
            <family val="2"/>
          </rPr>
          <t>Damodaran, implied U.S. equity risk premium, July 2026 update.</t>
        </r>
      </text>
    </comment>
    <comment ref="B15" authorId="0" shapeId="0" xr:uid="{00000000-0006-0000-0400-000004000000}">
      <text>
        <r>
          <rPr>
            <sz val="10"/>
            <rFont val="Arial"/>
            <family val="2"/>
          </rPr>
          <t>McDonald's book rate on existing debt is 4.0%, but current market yields on its outstanding bonds run higher, roughly 6.0% to 7.1% across maturities as of mid-2026. 4.5% reflects the cost of raising new debt today, between those two references.</t>
        </r>
      </text>
    </comment>
    <comment ref="B20" authorId="0" shapeId="0" xr:uid="{00000000-0006-0000-0400-000005000000}">
      <text>
        <r>
          <rPr>
            <sz val="10"/>
            <rFont val="Arial"/>
            <family val="2"/>
          </rPr>
          <t>Shares outstanding at year-end 2025, per the FY2025 10-K.</t>
        </r>
      </text>
    </comment>
    <comment ref="B21" authorId="0" shapeId="0" xr:uid="{00000000-0006-0000-0400-000006000000}">
      <text>
        <r>
          <rPr>
            <sz val="10"/>
            <rFont val="Arial"/>
            <family val="2"/>
          </rPr>
          <t>Approximate MCD share price, early September 2026.</t>
        </r>
      </text>
    </comment>
    <comment ref="B38" authorId="0" shapeId="0" xr:uid="{00000000-0006-0000-0400-000007000000}">
      <text>
        <r>
          <rPr>
            <sz val="10"/>
            <rFont val="Arial"/>
            <family val="2"/>
          </rPr>
          <t>Tapers from 4.5% in year 1 to 3.5% in year 5, roughly in line with McDonald's disclosed unit growth target of about 4.5% net new units in 2026, moderating as U.S. market saturation limits further unit growth over the forecast window.</t>
        </r>
      </text>
    </comment>
    <comment ref="B40" authorId="0" shapeId="0" xr:uid="{00000000-0006-0000-0400-000008000000}">
      <text>
        <r>
          <rPr>
            <sz val="10"/>
            <rFont val="Arial"/>
            <family val="2"/>
          </rPr>
          <t>McDonald's FY2026 guidance points to a similar mid-to-high 40s operating margin, supporting a flat assumption rather than further modeled expansion.</t>
        </r>
      </text>
    </comment>
    <comment ref="B46" authorId="0" shapeId="0" xr:uid="{00000000-0006-0000-0400-000009000000}">
      <text>
        <r>
          <rPr>
            <sz val="10"/>
            <rFont val="Arial"/>
            <family val="2"/>
          </rPr>
          <t>In line with long-run U.S. GDP growth expectations.</t>
        </r>
      </text>
    </comment>
    <comment ref="B58" authorId="0" shapeId="0" xr:uid="{00000000-0006-0000-0400-00000A000000}">
      <text>
        <r>
          <rPr>
            <sz val="10"/>
            <rFont val="Arial"/>
            <family val="2"/>
          </rPr>
          <t>This FY2025A figure is derived from this schedule's own formula, NOPAT plus D&amp;A less capex and working capital change, not copied from the actual reported Cash Flow Statement. The reported FY2025 free cash flow on the 3-Statement Model tab is $7,187M; the roughly $356M gap reflects that this schedule's D&amp;A captures only the SG&amp;A-level line, and assumes zero working capital change going forward rather than FY2025's actual one-year swing.</t>
        </r>
      </text>
    </comment>
    <comment ref="B72" authorId="0" shapeId="0" xr:uid="{00000000-0006-0000-0400-00000B000000}">
      <text>
        <r>
          <rPr>
            <sz val="10"/>
            <rFont val="Arial"/>
            <family val="2"/>
          </rPr>
          <t>Typically 60% to 80% or more for a mature, stable business; this is why the DCF is sensitive to WACC and terminal growth, not a sign of a flawed model.</t>
        </r>
      </text>
    </comment>
    <comment ref="B78" authorId="0" shapeId="0" xr:uid="{00000000-0006-0000-0400-00000C000000}">
      <text>
        <r>
          <rPr>
            <sz val="10"/>
            <rFont val="Arial"/>
            <family val="2"/>
          </rPr>
          <t>Weighted-average diluted shares outstanding, FY2025.</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F9C738-767A-4D50-B338-FAD75C366DFF}" keepAlive="1" name="Query - StagingData" description="Connection to the 'StagingData' query in the workbook." type="5" refreshedVersion="8" background="1" saveData="1">
    <dbPr connection="Provider=Microsoft.Mashup.OleDb.1;Data Source=$Workbook$;Location=StagingData;Extended Properties=&quot;&quot;" command="SELECT * FROM [StagingData]"/>
  </connection>
</connections>
</file>

<file path=xl/sharedStrings.xml><?xml version="1.0" encoding="utf-8"?>
<sst xmlns="http://schemas.openxmlformats.org/spreadsheetml/2006/main" count="423" uniqueCount="304">
  <si>
    <t>McDonald's Corporation</t>
  </si>
  <si>
    <t>Franchise vs. Company-Operated Margin Bridge, 3-Statement Model and Valuation</t>
  </si>
  <si>
    <t>Prepared by Kaushal Jaiswal</t>
  </si>
  <si>
    <t>Contents</t>
  </si>
  <si>
    <t>3-Statement Model</t>
  </si>
  <si>
    <t>Income Statement, Balance Sheet, and Cash Flow Statement, linked and tying out.</t>
  </si>
  <si>
    <t>Supporting Schedules</t>
  </si>
  <si>
    <t>Working capital, debt, and property and equipment roll-forwards feeding the statements above.</t>
  </si>
  <si>
    <t>Segment and Margin Analysis</t>
  </si>
  <si>
    <t>Segment-level revenue and margin, and the mix versus rate decomposition behind the margin change.</t>
  </si>
  <si>
    <t>Valuation</t>
  </si>
  <si>
    <t>Cost of capital build, five-year DCF, and a sensitivity grid across WACC and terminal growth.</t>
  </si>
  <si>
    <t>PQ Staging</t>
  </si>
  <si>
    <t>Quarterly data staging area for the Power Query refresh pipeline.</t>
  </si>
  <si>
    <t>Power BI Source Data</t>
  </si>
  <si>
    <t>Clean, linked tables feeding the Power BI dashboard.</t>
  </si>
  <si>
    <t>Conventions</t>
  </si>
  <si>
    <t>Blue text</t>
  </si>
  <si>
    <t>Hardcoded input from a McDonald's SEC filing or earnings release.</t>
  </si>
  <si>
    <t>Black text</t>
  </si>
  <si>
    <t>Formula calculated within the same tab.</t>
  </si>
  <si>
    <t>Green text</t>
  </si>
  <si>
    <t>Formula linked from another tab in this workbook.</t>
  </si>
  <si>
    <t>Tie-out checks</t>
  </si>
  <si>
    <t>Shown inline within each statement, computing to zero where the underlying logic requires it.</t>
  </si>
  <si>
    <t>Sources</t>
  </si>
  <si>
    <t>- McDonald's Corporation Form 10-K, fiscal year ended December 31, 2025, filed February 24, 2026 (SEC EDGAR, CIK 0000063908)</t>
  </si>
  <si>
    <t>- McDonald's Corporation Q4 2025 earnings release, Exhibit 99.1</t>
  </si>
  <si>
    <t>McDonald's Corporation, Consolidated Financial Statements</t>
  </si>
  <si>
    <t>$ in millions, except per-share data. Source: FY2025 Form 10-K and Q4 2025 earnings release, Exhibit 99.1.</t>
  </si>
  <si>
    <t>This tab covers, in order: Income Statement, Balance Sheet, Cash Flow Statement. Click column J, then use Ctrl+Down or Ctrl+Up to jump to each blue X marker, which sits on that section's header row.</t>
  </si>
  <si>
    <t>Income Statement</t>
  </si>
  <si>
    <t>X</t>
  </si>
  <si>
    <t>FY2023</t>
  </si>
  <si>
    <t>FY2024</t>
  </si>
  <si>
    <t>FY2025</t>
  </si>
  <si>
    <t>FY25 vs FY24</t>
  </si>
  <si>
    <t>Revenues</t>
  </si>
  <si>
    <t>Revenues from franchised restaurants</t>
  </si>
  <si>
    <t>Sales by company-operated restaurants</t>
  </si>
  <si>
    <t>Other revenues</t>
  </si>
  <si>
    <t>Total revenues</t>
  </si>
  <si>
    <t>Operating costs and expenses</t>
  </si>
  <si>
    <t>Franchised restaurants, occupancy expenses</t>
  </si>
  <si>
    <t>Company-operated restaurant expenses</t>
  </si>
  <si>
    <t>Other restaurant expenses</t>
  </si>
  <si>
    <t>SG&amp;A, depreciation and amortization</t>
  </si>
  <si>
    <t>SG&amp;A, other</t>
  </si>
  <si>
    <t>Other operating (income) expense, net</t>
  </si>
  <si>
    <t>Total operating costs and expenses</t>
  </si>
  <si>
    <t>Operating income</t>
  </si>
  <si>
    <t>Interest expense</t>
  </si>
  <si>
    <t>Nonoperating (income) expense, net</t>
  </si>
  <si>
    <t>Income before provision for income taxes</t>
  </si>
  <si>
    <t>Provision for income taxes</t>
  </si>
  <si>
    <t>Net income</t>
  </si>
  <si>
    <t>Operating margin</t>
  </si>
  <si>
    <t>Net margin</t>
  </si>
  <si>
    <t>Diluted EPS</t>
  </si>
  <si>
    <t>Balance Sheet</t>
  </si>
  <si>
    <t>Assets</t>
  </si>
  <si>
    <t>Cash and equivalents</t>
  </si>
  <si>
    <t>Accounts and notes receivable</t>
  </si>
  <si>
    <t>Other current assets</t>
  </si>
  <si>
    <t>Total current assets</t>
  </si>
  <si>
    <t>Total other assets</t>
  </si>
  <si>
    <t>Lease right-of-use asset, net</t>
  </si>
  <si>
    <t>Net property and equipment</t>
  </si>
  <si>
    <t>Total assets</t>
  </si>
  <si>
    <t>Liabilities and shareholders' equity</t>
  </si>
  <si>
    <t>Total current liabilities</t>
  </si>
  <si>
    <t>Long-term debt</t>
  </si>
  <si>
    <t>Long-term lease liability</t>
  </si>
  <si>
    <t>Other long-term liabilities</t>
  </si>
  <si>
    <t>Deferred income taxes</t>
  </si>
  <si>
    <t>Total liabilities</t>
  </si>
  <si>
    <t>Total shareholders' equity (deficit)</t>
  </si>
  <si>
    <t>Tie-out: total assets less total liabilities and equity</t>
  </si>
  <si>
    <t>Cash Flow Statement</t>
  </si>
  <si>
    <t>Operating activities</t>
  </si>
  <si>
    <t>Changes in working capital items</t>
  </si>
  <si>
    <t>Other operating adjustments, including depreciation</t>
  </si>
  <si>
    <t>Cash provided by operations</t>
  </si>
  <si>
    <t>Investing activities</t>
  </si>
  <si>
    <t>Capital expenditures</t>
  </si>
  <si>
    <t>Sales and purchases of restaurant businesses and property</t>
  </si>
  <si>
    <t>Other investing</t>
  </si>
  <si>
    <t>Cash used for investing</t>
  </si>
  <si>
    <t>Financing activities</t>
  </si>
  <si>
    <t>Net short-term borrowings and long-term financing</t>
  </si>
  <si>
    <t>Treasury stock purchases</t>
  </si>
  <si>
    <t>Common stock dividends</t>
  </si>
  <si>
    <t>Proceeds from stock option exercises and other</t>
  </si>
  <si>
    <t>Cash used for financing</t>
  </si>
  <si>
    <t>Effect of exchange rates on cash</t>
  </si>
  <si>
    <t>Net change in cash</t>
  </si>
  <si>
    <t>Cash at beginning of year</t>
  </si>
  <si>
    <t>Cash at end of year</t>
  </si>
  <si>
    <t>Free cash flow (operating cash flow less capital expenditures)</t>
  </si>
  <si>
    <t>Tie-out: cash flow ending cash less balance sheet cash</t>
  </si>
  <si>
    <t>McDonald's Corporation, Supporting Schedules</t>
  </si>
  <si>
    <t>$ in millions. Feeds the 3-Statement Model tab.</t>
  </si>
  <si>
    <t>This tab covers, in order: Working Capital, Debt Schedule, PP&amp;E Rollforward. Click column J, then use Ctrl+Down or Ctrl+Up to jump to each blue X marker, which sits on that section's header row.</t>
  </si>
  <si>
    <t>Working Capital</t>
  </si>
  <si>
    <t>Working capital components, linked from the 3-Statement Model tab</t>
  </si>
  <si>
    <t>Net working capital, excluding cash</t>
  </si>
  <si>
    <t>Change in net working capital</t>
  </si>
  <si>
    <t>Reported change in working capital (Cash Flow Statement)</t>
  </si>
  <si>
    <t>Variance versus this schedule's simplified calculation</t>
  </si>
  <si>
    <t>Debt Schedule</t>
  </si>
  <si>
    <t>Debt balance roll-forward</t>
  </si>
  <si>
    <t>Long-term debt, beginning of year</t>
  </si>
  <si>
    <t>Net issuances</t>
  </si>
  <si>
    <t>Long-term debt, end of year</t>
  </si>
  <si>
    <t>Tie-out: ties to 3-Statement Model long-term debt</t>
  </si>
  <si>
    <t>Interest expense build</t>
  </si>
  <si>
    <t>Weighted-average interest rate on total debt</t>
  </si>
  <si>
    <t>Average debt balance</t>
  </si>
  <si>
    <t>Implied interest expense</t>
  </si>
  <si>
    <t>Actual interest expense, per the 3-Statement Model tab</t>
  </si>
  <si>
    <t>Variance, reflecting fees, swaps, and the mix of fixed versus floating-rate debt</t>
  </si>
  <si>
    <t>Credit profile</t>
  </si>
  <si>
    <t>S&amp;P / Moody's rating</t>
  </si>
  <si>
    <t>BBB+ / Baa1</t>
  </si>
  <si>
    <t>Cash from operations to total debt</t>
  </si>
  <si>
    <t>PP&amp;E Rollforward</t>
  </si>
  <si>
    <t>Net PP&amp;E roll-forward</t>
  </si>
  <si>
    <t>Net PP&amp;E, beginning of year</t>
  </si>
  <si>
    <t>Add, capital expenditures</t>
  </si>
  <si>
    <t>Less, depreciation and amortization</t>
  </si>
  <si>
    <t>Other, including foreign exchange and restaurant-level depreciation</t>
  </si>
  <si>
    <t>Net PP&amp;E, end of year</t>
  </si>
  <si>
    <t>Tie-out: ties to 3-Statement Model net PP&amp;E</t>
  </si>
  <si>
    <t>McDonald's Corporation, Segment and Margin Analysis</t>
  </si>
  <si>
    <t>$ in millions. Segment figures per the FY2025 Form 10-K, Segment and Geographic Information note.</t>
  </si>
  <si>
    <t>This tab covers, in order: Segment Detail, Margin Bridge. Click column J, then use Ctrl+Down or Ctrl+Up to jump to each blue X marker, which sits on that section's header row.</t>
  </si>
  <si>
    <t>Segment Detail</t>
  </si>
  <si>
    <t>Revenue by segment</t>
  </si>
  <si>
    <t>U.S.</t>
  </si>
  <si>
    <t>International Operated Markets (IOM)</t>
  </si>
  <si>
    <t>IDL &amp; Corporate</t>
  </si>
  <si>
    <t>Total segment revenue</t>
  </si>
  <si>
    <t>Operating income by segment</t>
  </si>
  <si>
    <t>Total segment operating income</t>
  </si>
  <si>
    <t>Segment operating margin</t>
  </si>
  <si>
    <t>Tie-out: segment totals versus 3-Statement Model</t>
  </si>
  <si>
    <t>Tie-out: segment operating income versus 3-Statement Model</t>
  </si>
  <si>
    <t>Margin Bridge, Mix versus Rate Decomposition</t>
  </si>
  <si>
    <t>Method: standard mix-rate variance decomposition, FY2024 to FY2025.</t>
  </si>
  <si>
    <t>Rev FY24</t>
  </si>
  <si>
    <t>Rev FY25</t>
  </si>
  <si>
    <t>Share FY24</t>
  </si>
  <si>
    <t>Share FY25</t>
  </si>
  <si>
    <t>Margin FY24</t>
  </si>
  <si>
    <t>Margin FY25</t>
  </si>
  <si>
    <t>Total</t>
  </si>
  <si>
    <t>Mix and rate effect, by segment</t>
  </si>
  <si>
    <t>Share change</t>
  </si>
  <si>
    <t>Mix effect</t>
  </si>
  <si>
    <t>Margin change</t>
  </si>
  <si>
    <t>Rate effect</t>
  </si>
  <si>
    <t>Reconciliation</t>
  </si>
  <si>
    <t>Overall margin, FY2024</t>
  </si>
  <si>
    <t>Overall margin, FY2025</t>
  </si>
  <si>
    <t>Total change, actual</t>
  </si>
  <si>
    <t>Total mix and rate effect, from the table above</t>
  </si>
  <si>
    <t>Reconciliation check</t>
  </si>
  <si>
    <t>Reading the result</t>
  </si>
  <si>
    <t>Overall operating margin rose 0.9 points to 46.1% in FY2025. The two largest segments moved for</t>
  </si>
  <si>
    <t>different reasons. IOM contributed the largest single effect, nearly all of it from mix, its revenue</t>
  </si>
  <si>
    <t>share grew from 48.7% to 50.7% of the total at a broadly stable margin. IDL &amp; Corporate contributed</t>
  </si>
  <si>
    <t>the second-largest effect almost entirely from rate, its own margin rose from 1.2% to 8.4% even as</t>
  </si>
  <si>
    <t>its revenue share shrank. The U.S. was a modest drag on both dimensions.</t>
  </si>
  <si>
    <t>In short: the segment growing fastest and the segment getting more profitable are not the same</t>
  </si>
  <si>
    <t>segment, and the two effects are roughly the same size.</t>
  </si>
  <si>
    <t>Waterfall chart data</t>
  </si>
  <si>
    <t>Step</t>
  </si>
  <si>
    <t>Base</t>
  </si>
  <si>
    <t>Decrease</t>
  </si>
  <si>
    <t>Increase</t>
  </si>
  <si>
    <t>FY2024 margin</t>
  </si>
  <si>
    <t>U.S. mix</t>
  </si>
  <si>
    <t>U.S. rate</t>
  </si>
  <si>
    <t>IOM mix</t>
  </si>
  <si>
    <t>IOM rate</t>
  </si>
  <si>
    <t>IDL mix</t>
  </si>
  <si>
    <t>IDL rate</t>
  </si>
  <si>
    <t>FY2025 margin</t>
  </si>
  <si>
    <t>McDonald's Corporation, Valuation</t>
  </si>
  <si>
    <t>$ in millions, except per-share data.</t>
  </si>
  <si>
    <t>This tab covers, in order: WACC Build, DCF Valuation. Click column J, then use Ctrl+Down or Ctrl+Up to jump to each blue X marker, which sits on that section's header row.</t>
  </si>
  <si>
    <t>WACC Build</t>
  </si>
  <si>
    <t>Cost of equity, CAPM</t>
  </si>
  <si>
    <t>Risk-free rate, 10-year U.S. Treasury yield</t>
  </si>
  <si>
    <t>Beta</t>
  </si>
  <si>
    <t>Equity risk premium, implied, U.S.</t>
  </si>
  <si>
    <t>Cost of equity</t>
  </si>
  <si>
    <t>Cost of debt</t>
  </si>
  <si>
    <t>Pre-tax cost of debt</t>
  </si>
  <si>
    <t>Effective tax rate</t>
  </si>
  <si>
    <t>After-tax cost of debt</t>
  </si>
  <si>
    <t>Capital structure weights</t>
  </si>
  <si>
    <t>Shares outstanding, millions</t>
  </si>
  <si>
    <t>Share price</t>
  </si>
  <si>
    <t>Market value of equity</t>
  </si>
  <si>
    <t>Total debt, book value</t>
  </si>
  <si>
    <t>Total capital</t>
  </si>
  <si>
    <t>Weight of equity</t>
  </si>
  <si>
    <t>Weight of debt</t>
  </si>
  <si>
    <t>WACC, base case</t>
  </si>
  <si>
    <t>Every input above involves judgment. Beta and the cost of debt in particular are estimated,</t>
  </si>
  <si>
    <t>not observed, which is why the DCF below tests a range of WACC values rather than relying on a single point.</t>
  </si>
  <si>
    <t>DCF Valuation, 5-Year Explicit Forecast Plus Terminal Value</t>
  </si>
  <si>
    <t>Key assumptions</t>
  </si>
  <si>
    <t>Revenue growth, year 1</t>
  </si>
  <si>
    <t>Revenue growth, annual taper</t>
  </si>
  <si>
    <t>Operating margin, held at FY2025 level</t>
  </si>
  <si>
    <t>D&amp;A, percent of revenue</t>
  </si>
  <si>
    <t>Capital expenditures, percent of revenue</t>
  </si>
  <si>
    <t>Change in net working capital, percent of revenue</t>
  </si>
  <si>
    <t>WACC</t>
  </si>
  <si>
    <t>Terminal growth rate</t>
  </si>
  <si>
    <t>Free cash flow projection</t>
  </si>
  <si>
    <t>FY2025A</t>
  </si>
  <si>
    <t>FY2026E</t>
  </si>
  <si>
    <t>FY2027E</t>
  </si>
  <si>
    <t>FY2028E</t>
  </si>
  <si>
    <t>FY2029E</t>
  </si>
  <si>
    <t>FY2030E</t>
  </si>
  <si>
    <t>Revenue growth rate</t>
  </si>
  <si>
    <t>Revenue</t>
  </si>
  <si>
    <t>Less, taxes on operating income</t>
  </si>
  <si>
    <t>NOPAT</t>
  </si>
  <si>
    <t>Add back, D&amp;A</t>
  </si>
  <si>
    <t>Less, capital expenditures</t>
  </si>
  <si>
    <t>Less, increase in net working capital</t>
  </si>
  <si>
    <t>Unlevered free cash flow</t>
  </si>
  <si>
    <t>Discounting and terminal value</t>
  </si>
  <si>
    <t>Discount period, years</t>
  </si>
  <si>
    <t>Discount factor</t>
  </si>
  <si>
    <t>Present value of free cash flow</t>
  </si>
  <si>
    <t>Sum of present value, years 1 to 5</t>
  </si>
  <si>
    <t>Terminal year free cash flow</t>
  </si>
  <si>
    <t>Terminal value</t>
  </si>
  <si>
    <t>Present value of terminal value</t>
  </si>
  <si>
    <t>Implied enterprise value</t>
  </si>
  <si>
    <t>Percent of value from terminal value</t>
  </si>
  <si>
    <t>Bridge to equity value and implied share price</t>
  </si>
  <si>
    <t>Less, total debt</t>
  </si>
  <si>
    <t>Add, cash and equivalents</t>
  </si>
  <si>
    <t>Implied equity value</t>
  </si>
  <si>
    <t>Diluted shares outstanding, millions</t>
  </si>
  <si>
    <t>Implied share price</t>
  </si>
  <si>
    <t>Market price</t>
  </si>
  <si>
    <t>Implied upside, downside, versus market</t>
  </si>
  <si>
    <t>Sensitivity: enterprise value across WACC and terminal growth rate</t>
  </si>
  <si>
    <t>Each cell independently recomputes the five-year cash flow and terminal value at that pair.</t>
  </si>
  <si>
    <t>EV ($mm)</t>
  </si>
  <si>
    <t>Rows: WACC. Columns: terminal growth rate. Highlighted cell: base case.</t>
  </si>
  <si>
    <t>This DCF implies a value below McDonald's actual trading price, for three reasons worth stating</t>
  </si>
  <si>
    <t>plainly rather than explaining away: it does not model the effect of continued share buybacks on</t>
  </si>
  <si>
    <t>share count, WACC and terminal growth here are reasoned estimates rather than directly observed</t>
  </si>
  <si>
    <t>market figures, and a DCF built from first principles is not expected to match market price exactly,</t>
  </si>
  <si>
    <t>that is the point of building one. The base case sits centrally within the tested sensitivity range,</t>
  </si>
  <si>
    <t>not at an edge, which is itself a reasonable check on the assumptions.</t>
  </si>
  <si>
    <t>Quarterly Data Staging Area</t>
  </si>
  <si>
    <t>Each quarter, paste the new quarter's income statement figures below, then refresh the Power Query connection.</t>
  </si>
  <si>
    <t>Quarter label</t>
  </si>
  <si>
    <t>Q2 2026</t>
  </si>
  <si>
    <t>Line Item</t>
  </si>
  <si>
    <t>This Quarter</t>
  </si>
  <si>
    <t>Prior-Year Quarter</t>
  </si>
  <si>
    <t>Sales by Company-owned and operated restaurants</t>
  </si>
  <si>
    <t>Franchised restaurants-occupancy expenses</t>
  </si>
  <si>
    <t>Company-owned and operated restaurant expenses</t>
  </si>
  <si>
    <t>SG&amp;A - Depreciation and amortization</t>
  </si>
  <si>
    <t>SG&amp;A - Other</t>
  </si>
  <si>
    <t>Quarter history log</t>
  </si>
  <si>
    <t>Quarter</t>
  </si>
  <si>
    <t>Total Revenue</t>
  </si>
  <si>
    <t>Operating Income</t>
  </si>
  <si>
    <t>Net Income</t>
  </si>
  <si>
    <t>Q4 2025</t>
  </si>
  <si>
    <t>Q1 2026</t>
  </si>
  <si>
    <t>Clean, tidy tables, linked live to the rest of this workbook, for the Power BI dashboard.</t>
  </si>
  <si>
    <t>Income Statement Trend</t>
  </si>
  <si>
    <t>Year</t>
  </si>
  <si>
    <t>OperatingIncome</t>
  </si>
  <si>
    <t>NetIncome</t>
  </si>
  <si>
    <t>OperatingMargin</t>
  </si>
  <si>
    <t>Segment Performance</t>
  </si>
  <si>
    <t>Segment</t>
  </si>
  <si>
    <t>Margin</t>
  </si>
  <si>
    <t>Margin Bridge Waterfall Data</t>
  </si>
  <si>
    <t>MixEffect</t>
  </si>
  <si>
    <t>RateEffect</t>
  </si>
  <si>
    <t>DCF Valuation Summary</t>
  </si>
  <si>
    <t>Metric</t>
  </si>
  <si>
    <t>Value</t>
  </si>
  <si>
    <t>Enterprise Value</t>
  </si>
  <si>
    <t>Implied Share Price</t>
  </si>
  <si>
    <t>Market Price</t>
  </si>
  <si>
    <t>Terminal Growth Rate</t>
  </si>
  <si>
    <t>Upside Downside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</si>
</sst>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quot;($&quot;#,##0.00\)"/>
    <numFmt numFmtId="167" formatCode="0.000"/>
    <numFmt numFmtId="168" formatCode="\$#,##0"/>
    <numFmt numFmtId="169" formatCode="\$#,##0.00"/>
  </numFmts>
  <fonts count="20" x14ac:knownFonts="1">
    <font>
      <sz val="11"/>
      <color theme="1"/>
      <name val="Calibri"/>
      <family val="2"/>
      <charset val="1"/>
    </font>
    <font>
      <sz val="10"/>
      <name val="Arial"/>
      <family val="2"/>
    </font>
    <font>
      <b/>
      <sz val="22"/>
      <color rgb="FFDA291C"/>
      <name val="Calibri"/>
      <family val="2"/>
    </font>
    <font>
      <sz val="13"/>
      <color rgb="FF27251F"/>
      <name val="Calibri"/>
      <family val="2"/>
    </font>
    <font>
      <i/>
      <sz val="9"/>
      <color rgb="FF5B5B5B"/>
      <name val="Calibri"/>
      <family val="2"/>
    </font>
    <font>
      <b/>
      <sz val="11"/>
      <color rgb="FFDA291C"/>
      <name val="Calibri"/>
      <family val="2"/>
    </font>
    <font>
      <b/>
      <sz val="10"/>
      <color rgb="FF27251F"/>
      <name val="Calibri"/>
      <family val="2"/>
    </font>
    <font>
      <sz val="9.5"/>
      <color rgb="FF5B5B5B"/>
      <name val="Calibri"/>
      <family val="2"/>
    </font>
    <font>
      <b/>
      <sz val="15"/>
      <color rgb="FF27251F"/>
      <name val="Calibri"/>
      <family val="2"/>
    </font>
    <font>
      <u/>
      <sz val="10"/>
      <color rgb="FF1F4E8C"/>
      <name val="Calibri"/>
      <family val="2"/>
    </font>
    <font>
      <sz val="11"/>
      <name val="Cambria"/>
      <family val="1"/>
    </font>
    <font>
      <b/>
      <sz val="13"/>
      <color rgb="FFDA291C"/>
      <name val="Calibri"/>
      <family val="2"/>
    </font>
    <font>
      <b/>
      <sz val="10"/>
      <color rgb="FFFFFFFF"/>
      <name val="Calibri"/>
      <family val="2"/>
    </font>
    <font>
      <sz val="10"/>
      <color rgb="FF3D3D3D"/>
      <name val="Calibri"/>
      <family val="2"/>
    </font>
    <font>
      <sz val="10"/>
      <color rgb="FF1F4E8C"/>
      <name val="Calibri"/>
      <family val="2"/>
    </font>
    <font>
      <b/>
      <sz val="10"/>
      <color rgb="FF000000"/>
      <name val="Calibri"/>
      <family val="2"/>
    </font>
    <font>
      <sz val="10"/>
      <color rgb="FF000000"/>
      <name val="Calibri"/>
      <family val="2"/>
    </font>
    <font>
      <i/>
      <sz val="9.5"/>
      <color rgb="FF5B5B5B"/>
      <name val="Calibri"/>
      <family val="2"/>
    </font>
    <font>
      <b/>
      <sz val="10"/>
      <color rgb="FF946200"/>
      <name val="Calibri"/>
      <family val="2"/>
    </font>
    <font>
      <sz val="10"/>
      <color rgb="FF1B6B3A"/>
      <name val="Calibri"/>
      <family val="2"/>
    </font>
  </fonts>
  <fills count="6">
    <fill>
      <patternFill patternType="none"/>
    </fill>
    <fill>
      <patternFill patternType="gray125"/>
    </fill>
    <fill>
      <patternFill patternType="solid">
        <fgColor rgb="FFF5F3F0"/>
        <bgColor rgb="FFEAF2ED"/>
      </patternFill>
    </fill>
    <fill>
      <patternFill patternType="solid">
        <fgColor rgb="FF1F4E8C"/>
        <bgColor rgb="FF0066CC"/>
      </patternFill>
    </fill>
    <fill>
      <patternFill patternType="solid">
        <fgColor rgb="FF27251F"/>
        <bgColor rgb="FF2B2B2B"/>
      </patternFill>
    </fill>
    <fill>
      <patternFill patternType="solid">
        <fgColor rgb="FFEAF2ED"/>
        <bgColor rgb="FFF5F3F0"/>
      </patternFill>
    </fill>
  </fills>
  <borders count="6">
    <border>
      <left/>
      <right/>
      <top/>
      <bottom/>
      <diagonal/>
    </border>
    <border>
      <left/>
      <right/>
      <top/>
      <bottom style="thick">
        <color rgb="FFFFC72C"/>
      </bottom>
      <diagonal/>
    </border>
    <border>
      <left/>
      <right/>
      <top style="medium">
        <color rgb="FFDA291C"/>
      </top>
      <bottom style="thin">
        <color rgb="FFFFC72C"/>
      </bottom>
      <diagonal/>
    </border>
    <border>
      <left/>
      <right/>
      <top style="thin">
        <color rgb="FF27251F"/>
      </top>
      <bottom style="double">
        <color rgb="FF27251F"/>
      </bottom>
      <diagonal/>
    </border>
    <border>
      <left/>
      <right/>
      <top style="medium">
        <color rgb="FFDA291C"/>
      </top>
      <bottom/>
      <diagonal/>
    </border>
    <border>
      <left style="medium">
        <color rgb="FF1B6B3A"/>
      </left>
      <right style="medium">
        <color rgb="FF1B6B3A"/>
      </right>
      <top style="medium">
        <color rgb="FF1B6B3A"/>
      </top>
      <bottom style="medium">
        <color rgb="FF1B6B3A"/>
      </bottom>
      <diagonal/>
    </border>
  </borders>
  <cellStyleXfs count="1">
    <xf numFmtId="0" fontId="0" fillId="0" borderId="0"/>
  </cellStyleXfs>
  <cellXfs count="57">
    <xf numFmtId="0" fontId="0" fillId="0" borderId="0" xfId="0"/>
    <xf numFmtId="0" fontId="7" fillId="0" borderId="0" xfId="0" applyFont="1" applyAlignment="1">
      <alignment wrapText="1"/>
    </xf>
    <xf numFmtId="0" fontId="4" fillId="0" borderId="0" xfId="0" applyFont="1"/>
    <xf numFmtId="0" fontId="3" fillId="0" borderId="0" xfId="0" applyFont="1"/>
    <xf numFmtId="0" fontId="2" fillId="0" borderId="1" xfId="0" applyFont="1" applyBorder="1"/>
    <xf numFmtId="0" fontId="4" fillId="0" borderId="0" xfId="0" applyFont="1"/>
    <xf numFmtId="0" fontId="5" fillId="0" borderId="0" xfId="0" applyFont="1"/>
    <xf numFmtId="0" fontId="6" fillId="0" borderId="0" xfId="0" applyFont="1"/>
    <xf numFmtId="0" fontId="7" fillId="0" borderId="0" xfId="0" applyFont="1" applyAlignment="1">
      <alignment vertical="top" wrapText="1"/>
    </xf>
    <xf numFmtId="0" fontId="8" fillId="0" borderId="0" xfId="0" applyFont="1"/>
    <xf numFmtId="0" fontId="9" fillId="0" borderId="0" xfId="0" applyFont="1"/>
    <xf numFmtId="0" fontId="10" fillId="0" borderId="0" xfId="0" applyFont="1" applyAlignment="1">
      <alignment horizontal="center"/>
    </xf>
    <xf numFmtId="0" fontId="11" fillId="2" borderId="2" xfId="0" applyFont="1" applyFill="1" applyBorder="1"/>
    <xf numFmtId="0" fontId="0" fillId="2" borderId="2" xfId="0" applyFill="1" applyBorder="1"/>
    <xf numFmtId="0" fontId="0" fillId="0" borderId="2" xfId="0" applyBorder="1"/>
    <xf numFmtId="0" fontId="12" fillId="3" borderId="0" xfId="0" applyFont="1" applyFill="1" applyAlignment="1">
      <alignment horizontal="center"/>
    </xf>
    <xf numFmtId="0" fontId="12" fillId="4" borderId="0" xfId="0" applyFont="1" applyFill="1"/>
    <xf numFmtId="164" fontId="12" fillId="4" borderId="0" xfId="0" applyNumberFormat="1" applyFont="1" applyFill="1" applyAlignment="1">
      <alignment horizontal="right"/>
    </xf>
    <xf numFmtId="0" fontId="12" fillId="4" borderId="0" xfId="0" applyFont="1" applyFill="1" applyAlignment="1">
      <alignment horizontal="right"/>
    </xf>
    <xf numFmtId="0" fontId="13" fillId="0" borderId="0" xfId="0" applyFont="1" applyAlignment="1">
      <alignment indent="2"/>
    </xf>
    <xf numFmtId="164" fontId="14" fillId="0" borderId="0" xfId="0" applyNumberFormat="1" applyFont="1"/>
    <xf numFmtId="0" fontId="15" fillId="0" borderId="0" xfId="0" applyFont="1"/>
    <xf numFmtId="164" fontId="15" fillId="0" borderId="3" xfId="0" applyNumberFormat="1" applyFont="1" applyBorder="1"/>
    <xf numFmtId="165" fontId="15" fillId="0" borderId="0" xfId="0" applyNumberFormat="1" applyFont="1"/>
    <xf numFmtId="0" fontId="16" fillId="0" borderId="0" xfId="0" applyFont="1"/>
    <xf numFmtId="165" fontId="0" fillId="0" borderId="0" xfId="0" applyNumberFormat="1"/>
    <xf numFmtId="166" fontId="14" fillId="0" borderId="0" xfId="0" applyNumberFormat="1" applyFont="1"/>
    <xf numFmtId="164" fontId="0" fillId="0" borderId="0" xfId="0" applyNumberFormat="1"/>
    <xf numFmtId="0" fontId="17" fillId="0" borderId="0" xfId="0" applyFont="1"/>
    <xf numFmtId="164" fontId="18" fillId="0" borderId="0" xfId="0" applyNumberFormat="1" applyFont="1"/>
    <xf numFmtId="164" fontId="19" fillId="0" borderId="0" xfId="0" applyNumberFormat="1" applyFont="1"/>
    <xf numFmtId="164" fontId="16" fillId="0" borderId="0" xfId="0" applyNumberFormat="1" applyFont="1"/>
    <xf numFmtId="10" fontId="14" fillId="0" borderId="0" xfId="0" applyNumberFormat="1" applyFont="1"/>
    <xf numFmtId="0" fontId="14" fillId="0" borderId="0" xfId="0" applyFont="1"/>
    <xf numFmtId="10" fontId="0" fillId="0" borderId="0" xfId="0" applyNumberFormat="1"/>
    <xf numFmtId="0" fontId="12" fillId="4" borderId="0" xfId="0" applyFont="1" applyFill="1" applyAlignment="1">
      <alignment horizontal="center"/>
    </xf>
    <xf numFmtId="164" fontId="15" fillId="0" borderId="0" xfId="0" applyNumberFormat="1" applyFont="1"/>
    <xf numFmtId="10" fontId="15" fillId="0" borderId="0" xfId="0" applyNumberFormat="1" applyFont="1"/>
    <xf numFmtId="10" fontId="18" fillId="0" borderId="0" xfId="0" applyNumberFormat="1" applyFont="1"/>
    <xf numFmtId="0" fontId="0" fillId="2" borderId="4" xfId="0" applyFill="1" applyBorder="1"/>
    <xf numFmtId="2" fontId="14" fillId="0" borderId="0" xfId="0" applyNumberFormat="1" applyFont="1"/>
    <xf numFmtId="10" fontId="15" fillId="0" borderId="3" xfId="0" applyNumberFormat="1" applyFont="1" applyBorder="1"/>
    <xf numFmtId="10" fontId="19" fillId="0" borderId="0" xfId="0" applyNumberFormat="1" applyFont="1"/>
    <xf numFmtId="165" fontId="14" fillId="0" borderId="0" xfId="0" applyNumberFormat="1" applyFont="1"/>
    <xf numFmtId="165" fontId="19" fillId="0" borderId="0" xfId="0" applyNumberFormat="1" applyFont="1"/>
    <xf numFmtId="1" fontId="0" fillId="0" borderId="0" xfId="0" applyNumberFormat="1"/>
    <xf numFmtId="167" fontId="0" fillId="0" borderId="0" xfId="0" applyNumberFormat="1"/>
    <xf numFmtId="166" fontId="15" fillId="0" borderId="3" xfId="0" applyNumberFormat="1" applyFont="1" applyBorder="1"/>
    <xf numFmtId="166" fontId="19" fillId="0" borderId="0" xfId="0" applyNumberFormat="1" applyFont="1"/>
    <xf numFmtId="165" fontId="12" fillId="4" borderId="0" xfId="0" applyNumberFormat="1" applyFont="1" applyFill="1" applyAlignment="1">
      <alignment horizontal="center"/>
    </xf>
    <xf numFmtId="10" fontId="12" fillId="4" borderId="0" xfId="0" applyNumberFormat="1" applyFont="1" applyFill="1" applyAlignment="1">
      <alignment horizontal="center"/>
    </xf>
    <xf numFmtId="168" fontId="16" fillId="0" borderId="0" xfId="0" applyNumberFormat="1" applyFont="1" applyAlignment="1">
      <alignment horizontal="center"/>
    </xf>
    <xf numFmtId="168" fontId="15" fillId="5" borderId="5" xfId="0" applyNumberFormat="1" applyFont="1" applyFill="1" applyBorder="1" applyAlignment="1">
      <alignment horizontal="center"/>
    </xf>
    <xf numFmtId="0" fontId="11" fillId="2" borderId="4" xfId="0" applyFont="1" applyFill="1" applyBorder="1"/>
    <xf numFmtId="168" fontId="19" fillId="0" borderId="0" xfId="0" applyNumberFormat="1" applyFont="1"/>
    <xf numFmtId="169" fontId="19" fillId="0" borderId="0" xfId="0" applyNumberFormat="1" applyFont="1"/>
    <xf numFmtId="0" fontId="0" fillId="0" borderId="0" xfId="0" applyNumberFormat="1"/>
  </cellXfs>
  <cellStyles count="1">
    <cellStyle name="Normal" xfId="0" builtinId="0"/>
  </cellStyles>
  <dxfs count="2">
    <dxf>
      <numFmt numFmtId="0" formatCode="General"/>
    </dxf>
    <dxf>
      <numFmt numFmtId="0" formatCode="Genera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B6B3A"/>
      <rgbColor rgb="FF000080"/>
      <rgbColor rgb="FF946200"/>
      <rgbColor rgb="FF800080"/>
      <rgbColor rgb="FF008080"/>
      <rgbColor rgb="FFB3B3B3"/>
      <rgbColor rgb="FF5B5B5B"/>
      <rgbColor rgb="FF9999FF"/>
      <rgbColor rgb="FF8B3A3A"/>
      <rgbColor rgb="FFF5F3F0"/>
      <rgbColor rgb="FFEAF2ED"/>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72C"/>
      <rgbColor rgb="FFFF9900"/>
      <rgbColor rgb="FFFF6600"/>
      <rgbColor rgb="FF6B6B6B"/>
      <rgbColor rgb="FF969696"/>
      <rgbColor rgb="FF3D3D3D"/>
      <rgbColor rgb="FF339966"/>
      <rgbColor rgb="FF003300"/>
      <rgbColor rgb="FF27251F"/>
      <rgbColor rgb="FFDA291C"/>
      <rgbColor rgb="FF993366"/>
      <rgbColor rgb="FF1F4E8C"/>
      <rgbColor rgb="FF2B2B2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Operating Margin Bridge, FY2024 to FY2025</a:t>
            </a:r>
          </a:p>
        </c:rich>
      </c:tx>
      <c:overlay val="0"/>
      <c:spPr>
        <a:noFill/>
        <a:ln w="0">
          <a:noFill/>
        </a:ln>
      </c:spPr>
    </c:title>
    <c:autoTitleDeleted val="0"/>
    <c:plotArea>
      <c:layout/>
      <c:barChart>
        <c:barDir val="col"/>
        <c:grouping val="stacked"/>
        <c:varyColors val="0"/>
        <c:ser>
          <c:idx val="0"/>
          <c:order val="0"/>
          <c:tx>
            <c:strRef>
              <c:f>'Segment and Margin Analysis'!$B$74</c:f>
              <c:strCache>
                <c:ptCount val="1"/>
                <c:pt idx="0">
                  <c:v>Base</c:v>
                </c:pt>
              </c:strCache>
            </c:strRef>
          </c:tx>
          <c:spPr>
            <a:no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'Segment and Margin Analysis'!$A$75:$A$82</c:f>
              <c:strCache>
                <c:ptCount val="8"/>
                <c:pt idx="0">
                  <c:v>FY2024 margin</c:v>
                </c:pt>
                <c:pt idx="1">
                  <c:v>U.S. mix</c:v>
                </c:pt>
                <c:pt idx="2">
                  <c:v>U.S. rate</c:v>
                </c:pt>
                <c:pt idx="3">
                  <c:v>IOM mix</c:v>
                </c:pt>
                <c:pt idx="4">
                  <c:v>IOM rate</c:v>
                </c:pt>
                <c:pt idx="5">
                  <c:v>IDL mix</c:v>
                </c:pt>
                <c:pt idx="6">
                  <c:v>IDL rate</c:v>
                </c:pt>
                <c:pt idx="7">
                  <c:v>FY2025 margin</c:v>
                </c:pt>
              </c:strCache>
            </c:strRef>
          </c:cat>
          <c:val>
            <c:numRef>
              <c:f>'Segment and Margin Analysis'!$B$75:$B$82</c:f>
              <c:numCache>
                <c:formatCode>0.00%</c:formatCode>
                <c:ptCount val="8"/>
                <c:pt idx="0">
                  <c:v>0</c:v>
                </c:pt>
                <c:pt idx="1">
                  <c:v>0.44780422381970847</c:v>
                </c:pt>
                <c:pt idx="2">
                  <c:v>0.44670254048450531</c:v>
                </c:pt>
                <c:pt idx="3">
                  <c:v>0.44670254048450531</c:v>
                </c:pt>
                <c:pt idx="4">
                  <c:v>0.45468583180074246</c:v>
                </c:pt>
                <c:pt idx="5">
                  <c:v>0.45453219577561021</c:v>
                </c:pt>
                <c:pt idx="6">
                  <c:v>0.45453219577561021</c:v>
                </c:pt>
                <c:pt idx="7">
                  <c:v>0</c:v>
                </c:pt>
              </c:numCache>
            </c:numRef>
          </c:val>
          <c:extLst>
            <c:ext xmlns:c16="http://schemas.microsoft.com/office/drawing/2014/chart" uri="{C3380CC4-5D6E-409C-BE32-E72D297353CC}">
              <c16:uniqueId val="{00000000-6F81-4C3D-9A89-002ECA494D6F}"/>
            </c:ext>
          </c:extLst>
        </c:ser>
        <c:ser>
          <c:idx val="1"/>
          <c:order val="1"/>
          <c:tx>
            <c:strRef>
              <c:f>'Segment and Margin Analysis'!$C$74</c:f>
              <c:strCache>
                <c:ptCount val="1"/>
                <c:pt idx="0">
                  <c:v>Decrease</c:v>
                </c:pt>
              </c:strCache>
            </c:strRef>
          </c:tx>
          <c:spPr>
            <a:solidFill>
              <a:srgbClr val="8B3A3A"/>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'Segment and Margin Analysis'!$A$75:$A$82</c:f>
              <c:strCache>
                <c:ptCount val="8"/>
                <c:pt idx="0">
                  <c:v>FY2024 margin</c:v>
                </c:pt>
                <c:pt idx="1">
                  <c:v>U.S. mix</c:v>
                </c:pt>
                <c:pt idx="2">
                  <c:v>U.S. rate</c:v>
                </c:pt>
                <c:pt idx="3">
                  <c:v>IOM mix</c:v>
                </c:pt>
                <c:pt idx="4">
                  <c:v>IOM rate</c:v>
                </c:pt>
                <c:pt idx="5">
                  <c:v>IDL mix</c:v>
                </c:pt>
                <c:pt idx="6">
                  <c:v>IDL rate</c:v>
                </c:pt>
                <c:pt idx="7">
                  <c:v>FY2025 margin</c:v>
                </c:pt>
              </c:strCache>
            </c:strRef>
          </c:cat>
          <c:val>
            <c:numRef>
              <c:f>'Segment and Margin Analysis'!$C$75:$C$82</c:f>
              <c:numCache>
                <c:formatCode>0.00%</c:formatCode>
                <c:ptCount val="8"/>
                <c:pt idx="0">
                  <c:v>0</c:v>
                </c:pt>
                <c:pt idx="1">
                  <c:v>4.0476280321433879E-3</c:v>
                </c:pt>
                <c:pt idx="2">
                  <c:v>1.1016833352031454E-3</c:v>
                </c:pt>
                <c:pt idx="3">
                  <c:v>0</c:v>
                </c:pt>
                <c:pt idx="4">
                  <c:v>1.3841436463535267E-3</c:v>
                </c:pt>
                <c:pt idx="5">
                  <c:v>1.5363602513222938E-4</c:v>
                </c:pt>
                <c:pt idx="6">
                  <c:v>0</c:v>
                </c:pt>
                <c:pt idx="7">
                  <c:v>0</c:v>
                </c:pt>
              </c:numCache>
            </c:numRef>
          </c:val>
          <c:extLst>
            <c:ext xmlns:c16="http://schemas.microsoft.com/office/drawing/2014/chart" uri="{C3380CC4-5D6E-409C-BE32-E72D297353CC}">
              <c16:uniqueId val="{00000001-6F81-4C3D-9A89-002ECA494D6F}"/>
            </c:ext>
          </c:extLst>
        </c:ser>
        <c:ser>
          <c:idx val="2"/>
          <c:order val="2"/>
          <c:tx>
            <c:strRef>
              <c:f>'Segment and Margin Analysis'!$D$74</c:f>
              <c:strCache>
                <c:ptCount val="1"/>
                <c:pt idx="0">
                  <c:v>Increase</c:v>
                </c:pt>
              </c:strCache>
            </c:strRef>
          </c:tx>
          <c:spPr>
            <a:solidFill>
              <a:srgbClr val="1B6B3A"/>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'Segment and Margin Analysis'!$A$75:$A$82</c:f>
              <c:strCache>
                <c:ptCount val="8"/>
                <c:pt idx="0">
                  <c:v>FY2024 margin</c:v>
                </c:pt>
                <c:pt idx="1">
                  <c:v>U.S. mix</c:v>
                </c:pt>
                <c:pt idx="2">
                  <c:v>U.S. rate</c:v>
                </c:pt>
                <c:pt idx="3">
                  <c:v>IOM mix</c:v>
                </c:pt>
                <c:pt idx="4">
                  <c:v>IOM rate</c:v>
                </c:pt>
                <c:pt idx="5">
                  <c:v>IDL mix</c:v>
                </c:pt>
                <c:pt idx="6">
                  <c:v>IDL rate</c:v>
                </c:pt>
                <c:pt idx="7">
                  <c:v>FY2025 margin</c:v>
                </c:pt>
              </c:strCache>
            </c:strRef>
          </c:cat>
          <c:val>
            <c:numRef>
              <c:f>'Segment and Margin Analysis'!$D$75:$D$82</c:f>
              <c:numCache>
                <c:formatCode>0.00%</c:formatCode>
                <c:ptCount val="8"/>
                <c:pt idx="0">
                  <c:v>0</c:v>
                </c:pt>
                <c:pt idx="1">
                  <c:v>0</c:v>
                </c:pt>
                <c:pt idx="2">
                  <c:v>0</c:v>
                </c:pt>
                <c:pt idx="3">
                  <c:v>9.3674349625906747E-3</c:v>
                </c:pt>
                <c:pt idx="4">
                  <c:v>0</c:v>
                </c:pt>
                <c:pt idx="5">
                  <c:v>0</c:v>
                </c:pt>
                <c:pt idx="6">
                  <c:v>6.4311666941683837E-3</c:v>
                </c:pt>
                <c:pt idx="7">
                  <c:v>0</c:v>
                </c:pt>
              </c:numCache>
            </c:numRef>
          </c:val>
          <c:extLst>
            <c:ext xmlns:c16="http://schemas.microsoft.com/office/drawing/2014/chart" uri="{C3380CC4-5D6E-409C-BE32-E72D297353CC}">
              <c16:uniqueId val="{00000002-6F81-4C3D-9A89-002ECA494D6F}"/>
            </c:ext>
          </c:extLst>
        </c:ser>
        <c:ser>
          <c:idx val="3"/>
          <c:order val="3"/>
          <c:tx>
            <c:strRef>
              <c:f>'Segment and Margin Analysis'!$E$74</c:f>
              <c:strCache>
                <c:ptCount val="1"/>
                <c:pt idx="0">
                  <c:v>Total</c:v>
                </c:pt>
              </c:strCache>
            </c:strRef>
          </c:tx>
          <c:spPr>
            <a:solidFill>
              <a:srgbClr val="2B2B2B"/>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'Segment and Margin Analysis'!$A$75:$A$82</c:f>
              <c:strCache>
                <c:ptCount val="8"/>
                <c:pt idx="0">
                  <c:v>FY2024 margin</c:v>
                </c:pt>
                <c:pt idx="1">
                  <c:v>U.S. mix</c:v>
                </c:pt>
                <c:pt idx="2">
                  <c:v>U.S. rate</c:v>
                </c:pt>
                <c:pt idx="3">
                  <c:v>IOM mix</c:v>
                </c:pt>
                <c:pt idx="4">
                  <c:v>IOM rate</c:v>
                </c:pt>
                <c:pt idx="5">
                  <c:v>IDL mix</c:v>
                </c:pt>
                <c:pt idx="6">
                  <c:v>IDL rate</c:v>
                </c:pt>
                <c:pt idx="7">
                  <c:v>FY2025 margin</c:v>
                </c:pt>
              </c:strCache>
            </c:strRef>
          </c:cat>
          <c:val>
            <c:numRef>
              <c:f>'Segment and Margin Analysis'!$E$75:$E$82</c:f>
              <c:numCache>
                <c:formatCode>0.00%</c:formatCode>
                <c:ptCount val="8"/>
                <c:pt idx="0">
                  <c:v>0.45185185185185184</c:v>
                </c:pt>
                <c:pt idx="1">
                  <c:v>0</c:v>
                </c:pt>
                <c:pt idx="2">
                  <c:v>0</c:v>
                </c:pt>
                <c:pt idx="3">
                  <c:v>0</c:v>
                </c:pt>
                <c:pt idx="4">
                  <c:v>0</c:v>
                </c:pt>
                <c:pt idx="5">
                  <c:v>0</c:v>
                </c:pt>
                <c:pt idx="6">
                  <c:v>0</c:v>
                </c:pt>
                <c:pt idx="7">
                  <c:v>0.4609633624697787</c:v>
                </c:pt>
              </c:numCache>
            </c:numRef>
          </c:val>
          <c:extLst>
            <c:ext xmlns:c16="http://schemas.microsoft.com/office/drawing/2014/chart" uri="{C3380CC4-5D6E-409C-BE32-E72D297353CC}">
              <c16:uniqueId val="{00000003-6F81-4C3D-9A89-002ECA494D6F}"/>
            </c:ext>
          </c:extLst>
        </c:ser>
        <c:dLbls>
          <c:showLegendKey val="0"/>
          <c:showVal val="0"/>
          <c:showCatName val="0"/>
          <c:showSerName val="0"/>
          <c:showPercent val="0"/>
          <c:showBubbleSize val="0"/>
        </c:dLbls>
        <c:gapWidth val="30"/>
        <c:overlap val="100"/>
        <c:axId val="36782774"/>
        <c:axId val="60038447"/>
      </c:barChart>
      <c:catAx>
        <c:axId val="36782774"/>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0038447"/>
        <c:crosses val="autoZero"/>
        <c:auto val="1"/>
        <c:lblAlgn val="ctr"/>
        <c:lblOffset val="100"/>
        <c:noMultiLvlLbl val="0"/>
      </c:catAx>
      <c:valAx>
        <c:axId val="60038447"/>
        <c:scaling>
          <c:orientation val="minMax"/>
          <c:max val="0.5"/>
          <c:min val="0.4"/>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Operating margin</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678277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48</xdr:row>
      <xdr:rowOff>0</xdr:rowOff>
    </xdr:from>
    <xdr:to>
      <xdr:col>19</xdr:col>
      <xdr:colOff>573480</xdr:colOff>
      <xdr:row>64</xdr:row>
      <xdr:rowOff>183960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02326B3-D2DF-4FB4-9831-81DCC8F9043F}" autoFormatId="16" applyNumberFormats="0" applyBorderFormats="0" applyFontFormats="0" applyPatternFormats="0" applyAlignmentFormats="0" applyWidthHeightFormats="0">
  <queryTableRefresh nextId="4">
    <queryTableFields count="3">
      <queryTableField id="1" name="Quarter" tableColumnId="1"/>
      <queryTableField id="2" name="Line Item" tableColumnId="2"/>
      <queryTableField id="3" name="Value"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8D455D5-E165-4B5C-B9A8-A7BDE042474D}" name="StagingData_1" displayName="StagingData_1" ref="A1:C18" tableType="queryTable" totalsRowShown="0">
  <autoFilter ref="A1:C18" xr:uid="{18D455D5-E165-4B5C-B9A8-A7BDE042474D}"/>
  <tableColumns count="3">
    <tableColumn id="1" xr3:uid="{4DE73818-003E-4EFB-AD56-2B8B8EBF2EC1}" uniqueName="1" name="Quarter" queryTableFieldId="1" dataDxfId="1"/>
    <tableColumn id="2" xr3:uid="{15F73A91-EF8B-49DE-816E-708675668D73}" uniqueName="2" name="Line Item" queryTableFieldId="2" dataDxfId="0"/>
    <tableColumn id="3" xr3:uid="{3C45B075-D612-4F8A-85A0-694DE3829A29}" uniqueName="3" name="Value" queryTableField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StagingData" displayName="StagingData" ref="A7:C24" totalsRowShown="0">
  <autoFilter ref="A7:C24" xr:uid="{00000000-0009-0000-0100-000005000000}"/>
  <tableColumns count="3">
    <tableColumn id="1" xr3:uid="{00000000-0010-0000-0000-000001000000}" name="Line Item"/>
    <tableColumn id="2" xr3:uid="{00000000-0010-0000-0000-000002000000}" name="This Quarter"/>
    <tableColumn id="3" xr3:uid="{00000000-0010-0000-0000-000003000000}" name="Prior-Year Quarter"/>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PBI_DCF" displayName="PBI_DCF" ref="A34:B40" totalsRowShown="0">
  <autoFilter ref="A34:B40" xr:uid="{00000000-0009-0000-0100-000001000000}"/>
  <tableColumns count="2">
    <tableColumn id="1" xr3:uid="{00000000-0010-0000-0100-000001000000}" name="Metric"/>
    <tableColumn id="2" xr3:uid="{00000000-0010-0000-0100-000002000000}" name="Value"/>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PBI_IncomeStatement" displayName="PBI_IncomeStatement" ref="A7:H10" totalsRowShown="0">
  <autoFilter ref="A7:H10" xr:uid="{00000000-0009-0000-0100-000002000000}"/>
  <tableColumns count="8">
    <tableColumn id="1" xr3:uid="{00000000-0010-0000-0200-000001000000}" name="Year"/>
    <tableColumn id="2" xr3:uid="{00000000-0010-0000-0200-000002000000}" name="Revenue"/>
    <tableColumn id="3" xr3:uid="{00000000-0010-0000-0200-000003000000}" name="OperatingIncome"/>
    <tableColumn id="4" xr3:uid="{00000000-0010-0000-0200-000004000000}" name="NetIncome"/>
    <tableColumn id="5" xr3:uid="{00000000-0010-0000-0200-000005000000}" name="OperatingMargin"/>
    <tableColumn id="6" xr3:uid="{7B7E3C9A-3349-4272-B118-8BCC02FEA3E8}" name="FranchisedRevenue"/>
    <tableColumn id="7" xr3:uid="{CDADCCC4-9C88-4CE1-B983-ADA96E556540}" name="CompanyOperatedRevenue"/>
    <tableColumn id="8" xr3:uid="{9676904C-6B56-4A37-B6A3-9BC370645E50}" name="OtherRevenue"/>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PBI_MarginBridge" displayName="PBI_MarginBridge" ref="A26:C29" totalsRowShown="0">
  <autoFilter ref="A26:C29" xr:uid="{00000000-0009-0000-0100-000003000000}"/>
  <tableColumns count="3">
    <tableColumn id="1" xr3:uid="{00000000-0010-0000-0300-000001000000}" name="Segment"/>
    <tableColumn id="2" xr3:uid="{00000000-0010-0000-0300-000002000000}" name="MixEffect"/>
    <tableColumn id="3" xr3:uid="{00000000-0010-0000-0300-000003000000}" name="RateEffect"/>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PBI_Segment" displayName="PBI_Segment" ref="A15:E21" totalsRowShown="0">
  <autoFilter ref="A15:E21" xr:uid="{00000000-0009-0000-0100-000004000000}"/>
  <tableColumns count="5">
    <tableColumn id="1" xr3:uid="{00000000-0010-0000-0400-000001000000}" name="Segment"/>
    <tableColumn id="2" xr3:uid="{00000000-0010-0000-0400-000002000000}" name="Year"/>
    <tableColumn id="3" xr3:uid="{00000000-0010-0000-0400-000003000000}" name="Revenue"/>
    <tableColumn id="4" xr3:uid="{00000000-0010-0000-0400-000004000000}" name="OperatingIncome"/>
    <tableColumn id="5" xr3:uid="{00000000-0010-0000-0400-000005000000}" name="Margin"/>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AF86E9C-4CD9-4A32-87C1-50A3E6EED2AB}" name="PBI_Sensitivity" displayName="PBI_Sensitivity" ref="A43:C68" totalsRowShown="0">
  <autoFilter ref="A43:C68" xr:uid="{BC40F00A-9E49-4B62-A6DA-236A12FDF986}"/>
  <tableColumns count="3">
    <tableColumn id="1" xr3:uid="{755CD3F6-30B5-4C68-BB36-DCBC33FEAD93}" name="WACC"/>
    <tableColumn id="2" xr3:uid="{47CA5556-CC15-411F-83F8-11E0A545FDA8}" name="TerminalGrowth"/>
    <tableColumn id="3" xr3:uid="{2012A452-63C7-46D9-83AE-9051ADA38379}" name="EnterpriseValu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4" Type="http://schemas.openxmlformats.org/officeDocument/2006/relationships/table" Target="../tables/table6.xml"/><Relationship Id="rId5"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A291C"/>
  </sheetPr>
  <dimension ref="B2:C22"/>
  <sheetViews>
    <sheetView zoomScaleNormal="100" workbookViewId="0"/>
  </sheetViews>
  <sheetFormatPr defaultColWidth="8.6328125" defaultRowHeight="14.5" x14ac:dyDescent="0.35"/>
  <cols>
    <col min="1" max="1" width="4" customWidth="1"/>
    <col min="2" max="2" width="42" customWidth="1"/>
    <col min="3" max="3" width="56" customWidth="1"/>
  </cols>
  <sheetData>
    <row r="2" spans="2:3" ht="26.25" customHeight="1" x14ac:dyDescent="0.65">
      <c r="B2" s="4" t="s">
        <v>0</v>
      </c>
      <c r="C2" s="4"/>
    </row>
    <row r="3" spans="2:3" ht="15.75" customHeight="1" x14ac:dyDescent="0.4">
      <c r="B3" s="3" t="s">
        <v>1</v>
      </c>
      <c r="C3" s="3"/>
    </row>
    <row r="4" spans="2:3" ht="15" customHeight="1" x14ac:dyDescent="0.35">
      <c r="B4" s="2" t="s">
        <v>2</v>
      </c>
      <c r="C4" s="2"/>
    </row>
    <row r="6" spans="2:3" ht="15" customHeight="1" x14ac:dyDescent="0.35">
      <c r="B6" s="6" t="s">
        <v>3</v>
      </c>
    </row>
    <row r="7" spans="2:3" ht="30" customHeight="1" x14ac:dyDescent="0.35">
      <c r="B7" s="7" t="s">
        <v>4</v>
      </c>
      <c r="C7" s="8" t="s">
        <v>5</v>
      </c>
    </row>
    <row r="8" spans="2:3" ht="30" customHeight="1" x14ac:dyDescent="0.35">
      <c r="B8" s="7" t="s">
        <v>6</v>
      </c>
      <c r="C8" s="8" t="s">
        <v>7</v>
      </c>
    </row>
    <row r="9" spans="2:3" ht="30" customHeight="1" x14ac:dyDescent="0.35">
      <c r="B9" s="7" t="s">
        <v>8</v>
      </c>
      <c r="C9" s="8" t="s">
        <v>9</v>
      </c>
    </row>
    <row r="10" spans="2:3" ht="30" customHeight="1" x14ac:dyDescent="0.35">
      <c r="B10" s="7" t="s">
        <v>10</v>
      </c>
      <c r="C10" s="8" t="s">
        <v>11</v>
      </c>
    </row>
    <row r="11" spans="2:3" ht="30" customHeight="1" x14ac:dyDescent="0.35">
      <c r="B11" s="7" t="s">
        <v>12</v>
      </c>
      <c r="C11" s="8" t="s">
        <v>13</v>
      </c>
    </row>
    <row r="12" spans="2:3" ht="30" customHeight="1" x14ac:dyDescent="0.35">
      <c r="B12" s="7" t="s">
        <v>14</v>
      </c>
      <c r="C12" s="8" t="s">
        <v>15</v>
      </c>
    </row>
    <row r="14" spans="2:3" ht="15" customHeight="1" x14ac:dyDescent="0.35">
      <c r="B14" s="6" t="s">
        <v>16</v>
      </c>
    </row>
    <row r="15" spans="2:3" ht="15" customHeight="1" x14ac:dyDescent="0.35">
      <c r="B15" s="7" t="s">
        <v>17</v>
      </c>
      <c r="C15" s="8" t="s">
        <v>18</v>
      </c>
    </row>
    <row r="16" spans="2:3" ht="15" customHeight="1" x14ac:dyDescent="0.35">
      <c r="B16" s="7" t="s">
        <v>19</v>
      </c>
      <c r="C16" s="8" t="s">
        <v>20</v>
      </c>
    </row>
    <row r="17" spans="2:3" ht="15" customHeight="1" x14ac:dyDescent="0.35">
      <c r="B17" s="7" t="s">
        <v>21</v>
      </c>
      <c r="C17" s="8" t="s">
        <v>22</v>
      </c>
    </row>
    <row r="18" spans="2:3" ht="23.25" customHeight="1" x14ac:dyDescent="0.35">
      <c r="B18" s="7" t="s">
        <v>23</v>
      </c>
      <c r="C18" s="8" t="s">
        <v>24</v>
      </c>
    </row>
    <row r="20" spans="2:3" ht="15" customHeight="1" x14ac:dyDescent="0.35">
      <c r="B20" s="6" t="s">
        <v>25</v>
      </c>
    </row>
    <row r="21" spans="2:3" ht="15" customHeight="1" x14ac:dyDescent="0.35">
      <c r="B21" s="1" t="s">
        <v>26</v>
      </c>
      <c r="C21" s="1"/>
    </row>
    <row r="22" spans="2:3" ht="15" customHeight="1" x14ac:dyDescent="0.35">
      <c r="B22" s="1" t="s">
        <v>27</v>
      </c>
      <c r="C22" s="1"/>
    </row>
  </sheetData>
  <mergeCells count="5">
    <mergeCell ref="B2:C2"/>
    <mergeCell ref="B3:C3"/>
    <mergeCell ref="B4:C4"/>
    <mergeCell ref="B21:C21"/>
    <mergeCell ref="B22:C22"/>
  </mergeCells>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7251F"/>
    <pageSetUpPr fitToPage="1"/>
  </sheetPr>
  <dimension ref="A1:J100"/>
  <sheetViews>
    <sheetView zoomScaleNormal="100" workbookViewId="0">
      <pane xSplit="1" ySplit="4" topLeftCell="B5" activePane="bottomRight" state="frozen"/>
      <selection pane="topRight" activeCell="B1" sqref="B1"/>
      <selection pane="bottomLeft" activeCell="A5" sqref="A5"/>
      <selection pane="bottomRight"/>
    </sheetView>
  </sheetViews>
  <sheetFormatPr defaultColWidth="8.6328125" defaultRowHeight="14.5" x14ac:dyDescent="0.35"/>
  <cols>
    <col min="1" max="1" width="42" customWidth="1"/>
    <col min="2" max="4" width="13" customWidth="1"/>
    <col min="5" max="5" width="14" customWidth="1"/>
    <col min="10" max="10" width="4" customWidth="1"/>
  </cols>
  <sheetData>
    <row r="1" spans="1:10" ht="18" customHeight="1" x14ac:dyDescent="0.45">
      <c r="A1" s="9" t="s">
        <v>28</v>
      </c>
    </row>
    <row r="2" spans="1:10" ht="15" customHeight="1" x14ac:dyDescent="0.35">
      <c r="A2" s="5" t="s">
        <v>29</v>
      </c>
    </row>
    <row r="3" spans="1:10" ht="15" customHeight="1" x14ac:dyDescent="0.35">
      <c r="A3" s="5" t="s">
        <v>30</v>
      </c>
      <c r="B3" s="10"/>
      <c r="C3" s="10"/>
    </row>
    <row r="5" spans="1:10" ht="15" customHeight="1" x14ac:dyDescent="0.35">
      <c r="A5" s="11"/>
    </row>
    <row r="6" spans="1:10" ht="15.75" customHeight="1" x14ac:dyDescent="0.4">
      <c r="A6" s="12" t="s">
        <v>31</v>
      </c>
      <c r="B6" s="13"/>
      <c r="C6" s="13"/>
      <c r="D6" s="13"/>
      <c r="E6" s="13"/>
      <c r="F6" s="13"/>
      <c r="G6" s="14"/>
      <c r="J6" s="15" t="s">
        <v>32</v>
      </c>
    </row>
    <row r="8" spans="1:10" ht="15" customHeight="1" x14ac:dyDescent="0.35">
      <c r="A8" s="16"/>
      <c r="B8" s="17" t="s">
        <v>33</v>
      </c>
      <c r="C8" s="17" t="s">
        <v>34</v>
      </c>
      <c r="D8" s="17" t="s">
        <v>35</v>
      </c>
      <c r="E8" s="18" t="s">
        <v>36</v>
      </c>
    </row>
    <row r="9" spans="1:10" ht="15" customHeight="1" x14ac:dyDescent="0.35">
      <c r="A9" s="7" t="s">
        <v>37</v>
      </c>
    </row>
    <row r="10" spans="1:10" ht="15" customHeight="1" x14ac:dyDescent="0.35">
      <c r="A10" s="19" t="s">
        <v>38</v>
      </c>
      <c r="B10" s="20">
        <v>15437</v>
      </c>
      <c r="C10" s="20">
        <v>15715</v>
      </c>
      <c r="D10" s="20">
        <v>16548</v>
      </c>
    </row>
    <row r="11" spans="1:10" ht="15" customHeight="1" x14ac:dyDescent="0.35">
      <c r="A11" s="19" t="s">
        <v>39</v>
      </c>
      <c r="B11" s="20">
        <v>9742</v>
      </c>
      <c r="C11" s="20">
        <v>9782</v>
      </c>
      <c r="D11" s="20">
        <v>9690</v>
      </c>
    </row>
    <row r="12" spans="1:10" ht="15" customHeight="1" x14ac:dyDescent="0.35">
      <c r="A12" s="19" t="s">
        <v>40</v>
      </c>
      <c r="B12" s="20">
        <v>316</v>
      </c>
      <c r="C12" s="20">
        <v>423</v>
      </c>
      <c r="D12" s="20">
        <v>647</v>
      </c>
    </row>
    <row r="13" spans="1:10" ht="15" customHeight="1" x14ac:dyDescent="0.35">
      <c r="A13" s="21" t="s">
        <v>41</v>
      </c>
      <c r="B13" s="22">
        <f>SUM(B10:B12)</f>
        <v>25495</v>
      </c>
      <c r="C13" s="22">
        <f>SUM(C10:C12)</f>
        <v>25920</v>
      </c>
      <c r="D13" s="22">
        <f>SUM(D10:D12)</f>
        <v>26885</v>
      </c>
      <c r="E13" s="23">
        <f>D13/C13-1</f>
        <v>3.7229938271605034E-2</v>
      </c>
    </row>
    <row r="15" spans="1:10" ht="15" customHeight="1" x14ac:dyDescent="0.35">
      <c r="A15" s="7" t="s">
        <v>42</v>
      </c>
    </row>
    <row r="16" spans="1:10" ht="15" customHeight="1" x14ac:dyDescent="0.35">
      <c r="A16" s="19" t="s">
        <v>43</v>
      </c>
      <c r="B16" s="20">
        <v>2475</v>
      </c>
      <c r="C16" s="20">
        <v>2536</v>
      </c>
      <c r="D16" s="20">
        <v>2618</v>
      </c>
    </row>
    <row r="17" spans="1:5" ht="15" customHeight="1" x14ac:dyDescent="0.35">
      <c r="A17" s="19" t="s">
        <v>44</v>
      </c>
      <c r="B17" s="20">
        <v>8224</v>
      </c>
      <c r="C17" s="20">
        <v>8334</v>
      </c>
      <c r="D17" s="20">
        <v>8268</v>
      </c>
    </row>
    <row r="18" spans="1:5" ht="15" customHeight="1" x14ac:dyDescent="0.35">
      <c r="A18" s="19" t="s">
        <v>45</v>
      </c>
      <c r="B18" s="20">
        <v>232</v>
      </c>
      <c r="C18" s="20">
        <v>339</v>
      </c>
      <c r="D18" s="20">
        <v>564</v>
      </c>
    </row>
    <row r="19" spans="1:5" ht="15" customHeight="1" x14ac:dyDescent="0.35">
      <c r="A19" s="19" t="s">
        <v>46</v>
      </c>
      <c r="B19" s="20">
        <v>382</v>
      </c>
      <c r="C19" s="20">
        <v>447</v>
      </c>
      <c r="D19" s="20">
        <v>457</v>
      </c>
    </row>
    <row r="20" spans="1:5" ht="15" customHeight="1" x14ac:dyDescent="0.35">
      <c r="A20" s="19" t="s">
        <v>47</v>
      </c>
      <c r="B20" s="20">
        <v>2435</v>
      </c>
      <c r="C20" s="20">
        <v>2412</v>
      </c>
      <c r="D20" s="20">
        <v>2583</v>
      </c>
    </row>
    <row r="21" spans="1:5" ht="15" customHeight="1" x14ac:dyDescent="0.35">
      <c r="A21" s="19" t="s">
        <v>48</v>
      </c>
      <c r="B21" s="20">
        <v>99</v>
      </c>
      <c r="C21" s="20">
        <v>139</v>
      </c>
      <c r="D21" s="20">
        <v>2</v>
      </c>
    </row>
    <row r="22" spans="1:5" ht="15" customHeight="1" x14ac:dyDescent="0.35">
      <c r="A22" s="21" t="s">
        <v>49</v>
      </c>
      <c r="B22" s="22">
        <f>SUM(B16:B21)</f>
        <v>13847</v>
      </c>
      <c r="C22" s="22">
        <f>SUM(C16:C21)</f>
        <v>14207</v>
      </c>
      <c r="D22" s="22">
        <f>SUM(D16:D21)</f>
        <v>14492</v>
      </c>
    </row>
    <row r="24" spans="1:5" ht="15" customHeight="1" x14ac:dyDescent="0.35">
      <c r="A24" s="21" t="s">
        <v>50</v>
      </c>
      <c r="B24" s="22">
        <f>B13-B22</f>
        <v>11648</v>
      </c>
      <c r="C24" s="22">
        <f>C13-C22</f>
        <v>11713</v>
      </c>
      <c r="D24" s="22">
        <f>D13-D22</f>
        <v>12393</v>
      </c>
      <c r="E24" s="23">
        <f>D24/C24-1</f>
        <v>5.8055152394774989E-2</v>
      </c>
    </row>
    <row r="26" spans="1:5" ht="15" customHeight="1" x14ac:dyDescent="0.35">
      <c r="A26" s="19" t="s">
        <v>51</v>
      </c>
      <c r="B26" s="20">
        <v>1361</v>
      </c>
      <c r="C26" s="20">
        <v>1506</v>
      </c>
      <c r="D26" s="20">
        <v>1582</v>
      </c>
    </row>
    <row r="27" spans="1:5" ht="15" customHeight="1" x14ac:dyDescent="0.35">
      <c r="A27" s="19" t="s">
        <v>52</v>
      </c>
      <c r="B27" s="20">
        <v>-236</v>
      </c>
      <c r="C27" s="20">
        <v>-139</v>
      </c>
      <c r="D27" s="20">
        <v>-87</v>
      </c>
    </row>
    <row r="28" spans="1:5" ht="15" customHeight="1" x14ac:dyDescent="0.35">
      <c r="A28" s="21" t="s">
        <v>53</v>
      </c>
      <c r="B28" s="22">
        <f>B24-B26-B27</f>
        <v>10523</v>
      </c>
      <c r="C28" s="22">
        <f>C24-C26-C27</f>
        <v>10346</v>
      </c>
      <c r="D28" s="22">
        <f>D24-D26-D27</f>
        <v>10898</v>
      </c>
    </row>
    <row r="30" spans="1:5" ht="15" customHeight="1" x14ac:dyDescent="0.35">
      <c r="A30" s="19" t="s">
        <v>54</v>
      </c>
      <c r="B30" s="20">
        <v>2053</v>
      </c>
      <c r="C30" s="20">
        <v>2121</v>
      </c>
      <c r="D30" s="20">
        <v>2334</v>
      </c>
    </row>
    <row r="31" spans="1:5" ht="15" customHeight="1" x14ac:dyDescent="0.35">
      <c r="A31" s="21" t="s">
        <v>55</v>
      </c>
      <c r="B31" s="22">
        <f>B28-B30</f>
        <v>8470</v>
      </c>
      <c r="C31" s="22">
        <f>C28-C30</f>
        <v>8225</v>
      </c>
      <c r="D31" s="22">
        <f>D28-D30</f>
        <v>8564</v>
      </c>
      <c r="E31" s="23">
        <f>D31/C31-1</f>
        <v>4.1215805471124689E-2</v>
      </c>
    </row>
    <row r="33" spans="1:10" ht="15" customHeight="1" x14ac:dyDescent="0.35">
      <c r="A33" s="24" t="s">
        <v>56</v>
      </c>
      <c r="B33" s="25">
        <f>B24/B13</f>
        <v>0.45687389684251817</v>
      </c>
      <c r="C33" s="25">
        <f>C24/C13</f>
        <v>0.45189043209876545</v>
      </c>
      <c r="D33" s="25">
        <f>D24/D13</f>
        <v>0.4609633624697787</v>
      </c>
    </row>
    <row r="34" spans="1:10" ht="15" customHeight="1" x14ac:dyDescent="0.35">
      <c r="A34" s="24" t="s">
        <v>57</v>
      </c>
      <c r="B34" s="25">
        <f>B31/B13</f>
        <v>0.3322220043145715</v>
      </c>
      <c r="C34" s="25">
        <f>C31/C13</f>
        <v>0.31732253086419754</v>
      </c>
      <c r="D34" s="25">
        <f>D31/D13</f>
        <v>0.31854193788357821</v>
      </c>
    </row>
    <row r="35" spans="1:10" ht="15" customHeight="1" x14ac:dyDescent="0.35">
      <c r="A35" s="19" t="s">
        <v>58</v>
      </c>
      <c r="B35" s="26">
        <v>11.56</v>
      </c>
      <c r="C35" s="26">
        <v>11.39</v>
      </c>
      <c r="D35" s="26">
        <v>11.95</v>
      </c>
    </row>
    <row r="39" spans="1:10" ht="15" customHeight="1" x14ac:dyDescent="0.35">
      <c r="A39" s="11"/>
    </row>
    <row r="40" spans="1:10" ht="15.75" customHeight="1" x14ac:dyDescent="0.4">
      <c r="A40" s="12" t="s">
        <v>59</v>
      </c>
      <c r="B40" s="13"/>
      <c r="C40" s="13"/>
      <c r="D40" s="13"/>
      <c r="E40" s="13"/>
      <c r="F40" s="13"/>
      <c r="G40" s="14"/>
      <c r="J40" s="15" t="s">
        <v>32</v>
      </c>
    </row>
    <row r="42" spans="1:10" ht="15" customHeight="1" x14ac:dyDescent="0.35">
      <c r="A42" s="16"/>
      <c r="B42" s="17" t="s">
        <v>34</v>
      </c>
      <c r="C42" s="17" t="s">
        <v>35</v>
      </c>
    </row>
    <row r="43" spans="1:10" ht="15" customHeight="1" x14ac:dyDescent="0.35">
      <c r="A43" s="7" t="s">
        <v>60</v>
      </c>
    </row>
    <row r="44" spans="1:10" ht="15" customHeight="1" x14ac:dyDescent="0.35">
      <c r="A44" s="19" t="s">
        <v>61</v>
      </c>
      <c r="B44" s="20">
        <v>1085</v>
      </c>
      <c r="C44" s="20">
        <v>774</v>
      </c>
    </row>
    <row r="45" spans="1:10" ht="15" customHeight="1" x14ac:dyDescent="0.35">
      <c r="A45" s="19" t="s">
        <v>62</v>
      </c>
      <c r="B45" s="20">
        <v>2383</v>
      </c>
      <c r="C45" s="20">
        <v>2466</v>
      </c>
    </row>
    <row r="46" spans="1:10" ht="15" customHeight="1" x14ac:dyDescent="0.35">
      <c r="A46" s="19" t="s">
        <v>63</v>
      </c>
      <c r="B46" s="20">
        <v>1130</v>
      </c>
      <c r="C46" s="20">
        <v>924</v>
      </c>
    </row>
    <row r="47" spans="1:10" ht="15" customHeight="1" x14ac:dyDescent="0.35">
      <c r="A47" s="21" t="s">
        <v>64</v>
      </c>
      <c r="B47" s="22">
        <f>SUM(B44:B46)</f>
        <v>4598</v>
      </c>
      <c r="C47" s="22">
        <f>SUM(C44:C46)</f>
        <v>4164</v>
      </c>
    </row>
    <row r="49" spans="1:4" ht="15" customHeight="1" x14ac:dyDescent="0.35">
      <c r="A49" s="19" t="s">
        <v>65</v>
      </c>
      <c r="B49" s="20">
        <v>11950</v>
      </c>
      <c r="C49" s="20">
        <v>12505</v>
      </c>
    </row>
    <row r="50" spans="1:4" ht="15" customHeight="1" x14ac:dyDescent="0.35">
      <c r="A50" s="19" t="s">
        <v>66</v>
      </c>
      <c r="B50" s="20">
        <v>13339</v>
      </c>
      <c r="C50" s="20">
        <v>14606</v>
      </c>
    </row>
    <row r="51" spans="1:4" ht="15" customHeight="1" x14ac:dyDescent="0.35">
      <c r="A51" s="19" t="s">
        <v>67</v>
      </c>
      <c r="B51" s="20">
        <v>25295</v>
      </c>
      <c r="C51" s="20">
        <v>28241</v>
      </c>
    </row>
    <row r="52" spans="1:4" ht="15" customHeight="1" x14ac:dyDescent="0.35">
      <c r="A52" s="21" t="s">
        <v>68</v>
      </c>
      <c r="B52" s="22">
        <f>B47+B49+B50+B51</f>
        <v>55182</v>
      </c>
      <c r="C52" s="22">
        <f>C47+C49+C50+C51</f>
        <v>59516</v>
      </c>
    </row>
    <row r="54" spans="1:4" ht="15" customHeight="1" x14ac:dyDescent="0.35">
      <c r="A54" s="7" t="s">
        <v>69</v>
      </c>
    </row>
    <row r="55" spans="1:4" ht="15" customHeight="1" x14ac:dyDescent="0.35">
      <c r="A55" s="19" t="s">
        <v>70</v>
      </c>
      <c r="B55" s="20">
        <v>3861</v>
      </c>
      <c r="C55" s="20">
        <v>4361</v>
      </c>
    </row>
    <row r="56" spans="1:4" ht="15" customHeight="1" x14ac:dyDescent="0.35">
      <c r="A56" s="19" t="s">
        <v>71</v>
      </c>
      <c r="B56" s="20">
        <v>38424</v>
      </c>
      <c r="C56" s="20">
        <v>39973</v>
      </c>
    </row>
    <row r="57" spans="1:4" ht="15" customHeight="1" x14ac:dyDescent="0.35">
      <c r="A57" s="19" t="s">
        <v>72</v>
      </c>
      <c r="B57" s="20">
        <v>12888</v>
      </c>
      <c r="C57" s="20">
        <v>14147</v>
      </c>
    </row>
    <row r="58" spans="1:4" ht="15" customHeight="1" x14ac:dyDescent="0.35">
      <c r="A58" s="19" t="s">
        <v>73</v>
      </c>
      <c r="B58" s="20">
        <v>1893</v>
      </c>
      <c r="C58" s="20">
        <v>1788</v>
      </c>
    </row>
    <row r="59" spans="1:4" ht="15" customHeight="1" x14ac:dyDescent="0.35">
      <c r="A59" s="19" t="s">
        <v>74</v>
      </c>
      <c r="B59" s="20">
        <v>1914</v>
      </c>
      <c r="C59" s="20">
        <v>1038</v>
      </c>
    </row>
    <row r="60" spans="1:4" ht="15" customHeight="1" x14ac:dyDescent="0.35">
      <c r="A60" s="21" t="s">
        <v>75</v>
      </c>
      <c r="B60" s="22">
        <f>SUM(B55:B59)</f>
        <v>58980</v>
      </c>
      <c r="C60" s="22">
        <f>SUM(C55:C59)</f>
        <v>61307</v>
      </c>
    </row>
    <row r="62" spans="1:4" ht="15" customHeight="1" x14ac:dyDescent="0.35">
      <c r="A62" s="24" t="s">
        <v>76</v>
      </c>
      <c r="B62" s="27">
        <f>B52-B60</f>
        <v>-3798</v>
      </c>
      <c r="C62" s="27">
        <f>C52-C60</f>
        <v>-1791</v>
      </c>
    </row>
    <row r="64" spans="1:4" ht="15" customHeight="1" x14ac:dyDescent="0.35">
      <c r="A64" s="28" t="s">
        <v>77</v>
      </c>
      <c r="C64" s="29">
        <f>B52-(B60+B62)</f>
        <v>0</v>
      </c>
      <c r="D64" s="29">
        <f>C52-(C60+C62)</f>
        <v>0</v>
      </c>
    </row>
    <row r="69" spans="1:10" ht="15" customHeight="1" x14ac:dyDescent="0.35">
      <c r="A69" s="11"/>
    </row>
    <row r="70" spans="1:10" ht="15.75" customHeight="1" x14ac:dyDescent="0.4">
      <c r="A70" s="12" t="s">
        <v>78</v>
      </c>
      <c r="B70" s="13"/>
      <c r="C70" s="13"/>
      <c r="D70" s="13"/>
      <c r="E70" s="13"/>
      <c r="F70" s="13"/>
      <c r="G70" s="14"/>
      <c r="J70" s="15" t="s">
        <v>32</v>
      </c>
    </row>
    <row r="72" spans="1:10" ht="15" customHeight="1" x14ac:dyDescent="0.35">
      <c r="A72" s="16"/>
      <c r="B72" s="17" t="s">
        <v>34</v>
      </c>
      <c r="C72" s="17" t="s">
        <v>35</v>
      </c>
    </row>
    <row r="73" spans="1:10" ht="15" customHeight="1" x14ac:dyDescent="0.35">
      <c r="A73" s="7" t="s">
        <v>79</v>
      </c>
    </row>
    <row r="74" spans="1:10" ht="15" customHeight="1" x14ac:dyDescent="0.35">
      <c r="A74" s="19" t="s">
        <v>55</v>
      </c>
      <c r="B74" s="30">
        <f>C31</f>
        <v>8225</v>
      </c>
      <c r="C74" s="30">
        <f>D31</f>
        <v>8564</v>
      </c>
    </row>
    <row r="75" spans="1:10" ht="15" customHeight="1" x14ac:dyDescent="0.35">
      <c r="A75" s="19" t="s">
        <v>80</v>
      </c>
      <c r="B75" s="20">
        <v>-437</v>
      </c>
      <c r="C75" s="20">
        <v>106</v>
      </c>
    </row>
    <row r="76" spans="1:10" ht="15" customHeight="1" x14ac:dyDescent="0.35">
      <c r="A76" s="19" t="s">
        <v>81</v>
      </c>
      <c r="B76" s="20">
        <v>1660</v>
      </c>
      <c r="C76" s="20">
        <v>1882</v>
      </c>
    </row>
    <row r="77" spans="1:10" ht="15" customHeight="1" x14ac:dyDescent="0.35">
      <c r="A77" s="21" t="s">
        <v>82</v>
      </c>
      <c r="B77" s="22">
        <f>SUM(B74:B76)</f>
        <v>9448</v>
      </c>
      <c r="C77" s="22">
        <f>SUM(C74:C76)</f>
        <v>10552</v>
      </c>
    </row>
    <row r="79" spans="1:10" ht="15" customHeight="1" x14ac:dyDescent="0.35">
      <c r="A79" s="7" t="s">
        <v>83</v>
      </c>
    </row>
    <row r="80" spans="1:10" ht="15" customHeight="1" x14ac:dyDescent="0.35">
      <c r="A80" s="19" t="s">
        <v>84</v>
      </c>
      <c r="B80" s="20">
        <v>-2775</v>
      </c>
      <c r="C80" s="20">
        <v>-3365</v>
      </c>
    </row>
    <row r="81" spans="1:3" ht="15" customHeight="1" x14ac:dyDescent="0.35">
      <c r="A81" s="19" t="s">
        <v>85</v>
      </c>
      <c r="B81" s="20">
        <v>-2073</v>
      </c>
      <c r="C81" s="20">
        <v>122</v>
      </c>
    </row>
    <row r="82" spans="1:3" ht="15" customHeight="1" x14ac:dyDescent="0.35">
      <c r="A82" s="19" t="s">
        <v>86</v>
      </c>
      <c r="B82" s="20">
        <v>-498</v>
      </c>
      <c r="C82" s="20">
        <v>-579</v>
      </c>
    </row>
    <row r="83" spans="1:3" ht="15" customHeight="1" x14ac:dyDescent="0.35">
      <c r="A83" s="21" t="s">
        <v>87</v>
      </c>
      <c r="B83" s="22">
        <f>SUM(B80:B82)</f>
        <v>-5346</v>
      </c>
      <c r="C83" s="22">
        <f>SUM(C80:C82)</f>
        <v>-3822</v>
      </c>
    </row>
    <row r="85" spans="1:3" ht="15" customHeight="1" x14ac:dyDescent="0.35">
      <c r="A85" s="7" t="s">
        <v>88</v>
      </c>
    </row>
    <row r="86" spans="1:3" ht="15" customHeight="1" x14ac:dyDescent="0.35">
      <c r="A86" s="19" t="s">
        <v>89</v>
      </c>
      <c r="B86" s="20">
        <v>-72</v>
      </c>
      <c r="C86" s="20">
        <v>-73</v>
      </c>
    </row>
    <row r="87" spans="1:3" ht="15" customHeight="1" x14ac:dyDescent="0.35">
      <c r="A87" s="19" t="s">
        <v>90</v>
      </c>
      <c r="B87" s="20">
        <v>-2824</v>
      </c>
      <c r="C87" s="20">
        <v>-2056</v>
      </c>
    </row>
    <row r="88" spans="1:3" ht="15" customHeight="1" x14ac:dyDescent="0.35">
      <c r="A88" s="19" t="s">
        <v>91</v>
      </c>
      <c r="B88" s="20">
        <v>-4870</v>
      </c>
      <c r="C88" s="20">
        <v>-5115</v>
      </c>
    </row>
    <row r="89" spans="1:3" ht="15" customHeight="1" x14ac:dyDescent="0.35">
      <c r="A89" s="19" t="s">
        <v>92</v>
      </c>
      <c r="B89" s="20">
        <v>271</v>
      </c>
      <c r="C89" s="20">
        <v>118</v>
      </c>
    </row>
    <row r="90" spans="1:3" ht="15" customHeight="1" x14ac:dyDescent="0.35">
      <c r="A90" s="21" t="s">
        <v>93</v>
      </c>
      <c r="B90" s="22">
        <f>SUM(B86:B89)</f>
        <v>-7495</v>
      </c>
      <c r="C90" s="22">
        <f>SUM(C86:C89)</f>
        <v>-7126</v>
      </c>
    </row>
    <row r="92" spans="1:3" ht="15" customHeight="1" x14ac:dyDescent="0.35">
      <c r="A92" s="19" t="s">
        <v>94</v>
      </c>
      <c r="B92" s="20">
        <v>-101</v>
      </c>
      <c r="C92" s="20">
        <v>86</v>
      </c>
    </row>
    <row r="93" spans="1:3" ht="15" customHeight="1" x14ac:dyDescent="0.35">
      <c r="A93" s="21" t="s">
        <v>95</v>
      </c>
      <c r="B93" s="22">
        <f>B77+B83+B90+B92</f>
        <v>-3494</v>
      </c>
      <c r="C93" s="22">
        <f>C77+C83+C90+C92</f>
        <v>-310</v>
      </c>
    </row>
    <row r="95" spans="1:3" ht="15" customHeight="1" x14ac:dyDescent="0.35">
      <c r="A95" s="19" t="s">
        <v>96</v>
      </c>
      <c r="B95" s="20">
        <v>4579</v>
      </c>
      <c r="C95" s="31">
        <f>B96</f>
        <v>1085</v>
      </c>
    </row>
    <row r="96" spans="1:3" ht="15" customHeight="1" x14ac:dyDescent="0.35">
      <c r="A96" s="21" t="s">
        <v>97</v>
      </c>
      <c r="B96" s="22">
        <f>B95+B93</f>
        <v>1085</v>
      </c>
      <c r="C96" s="22">
        <f>C95+C93</f>
        <v>775</v>
      </c>
    </row>
    <row r="98" spans="1:3" ht="15" customHeight="1" x14ac:dyDescent="0.35">
      <c r="A98" s="24" t="s">
        <v>98</v>
      </c>
      <c r="B98" s="27">
        <f>B77+B80</f>
        <v>6673</v>
      </c>
      <c r="C98" s="27">
        <f>C77+C80</f>
        <v>7187</v>
      </c>
    </row>
    <row r="100" spans="1:3" ht="15" customHeight="1" x14ac:dyDescent="0.35">
      <c r="A100" s="28" t="s">
        <v>99</v>
      </c>
      <c r="C100" s="29">
        <f>C96-C44</f>
        <v>1</v>
      </c>
    </row>
  </sheetData>
  <pageMargins left="0.75" right="0.75" top="1" bottom="1" header="0.511811023622047" footer="0.511811023622047"/>
  <pageSetup fitToHeight="0"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B6B6B"/>
    <pageSetUpPr fitToPage="1"/>
  </sheetPr>
  <dimension ref="A1:J65"/>
  <sheetViews>
    <sheetView zoomScaleNormal="100" workbookViewId="0">
      <pane xSplit="1" ySplit="4" topLeftCell="B5" activePane="bottomRight" state="frozen"/>
      <selection pane="topRight" activeCell="B1" sqref="B1"/>
      <selection pane="bottomLeft" activeCell="A5" sqref="A5"/>
      <selection pane="bottomRight"/>
    </sheetView>
  </sheetViews>
  <sheetFormatPr defaultColWidth="8.6328125" defaultRowHeight="14.5" x14ac:dyDescent="0.35"/>
  <cols>
    <col min="1" max="1" width="42" customWidth="1"/>
    <col min="2" max="4" width="13" customWidth="1"/>
    <col min="10" max="10" width="4" customWidth="1"/>
  </cols>
  <sheetData>
    <row r="1" spans="1:10" ht="18" customHeight="1" x14ac:dyDescent="0.45">
      <c r="A1" s="9" t="s">
        <v>100</v>
      </c>
    </row>
    <row r="2" spans="1:10" ht="15" customHeight="1" x14ac:dyDescent="0.35">
      <c r="A2" s="5" t="s">
        <v>101</v>
      </c>
    </row>
    <row r="3" spans="1:10" ht="15" customHeight="1" x14ac:dyDescent="0.35">
      <c r="A3" s="5" t="s">
        <v>102</v>
      </c>
      <c r="B3" s="10"/>
      <c r="C3" s="10"/>
    </row>
    <row r="5" spans="1:10" ht="15" customHeight="1" x14ac:dyDescent="0.35">
      <c r="A5" s="11"/>
    </row>
    <row r="6" spans="1:10" ht="15.75" customHeight="1" x14ac:dyDescent="0.4">
      <c r="A6" s="12" t="s">
        <v>103</v>
      </c>
      <c r="B6" s="13"/>
      <c r="C6" s="13"/>
      <c r="D6" s="13"/>
      <c r="E6" s="13"/>
      <c r="F6" s="13"/>
      <c r="G6" s="14"/>
      <c r="J6" s="15" t="s">
        <v>32</v>
      </c>
    </row>
    <row r="8" spans="1:10" ht="15" customHeight="1" x14ac:dyDescent="0.35">
      <c r="A8" s="16"/>
      <c r="B8" s="18" t="s">
        <v>34</v>
      </c>
      <c r="C8" s="18" t="s">
        <v>35</v>
      </c>
    </row>
    <row r="9" spans="1:10" ht="15" customHeight="1" x14ac:dyDescent="0.35">
      <c r="A9" s="7" t="s">
        <v>104</v>
      </c>
    </row>
    <row r="10" spans="1:10" ht="15" customHeight="1" x14ac:dyDescent="0.35">
      <c r="A10" s="19" t="s">
        <v>62</v>
      </c>
      <c r="B10" s="30">
        <f>'3-Statement Model'!B45</f>
        <v>2383</v>
      </c>
      <c r="C10" s="30">
        <f>'3-Statement Model'!C45</f>
        <v>2466</v>
      </c>
    </row>
    <row r="11" spans="1:10" ht="15" customHeight="1" x14ac:dyDescent="0.35">
      <c r="A11" s="19" t="s">
        <v>63</v>
      </c>
      <c r="B11" s="30">
        <f>'3-Statement Model'!B46</f>
        <v>1130</v>
      </c>
      <c r="C11" s="30">
        <f>'3-Statement Model'!C46</f>
        <v>924</v>
      </c>
    </row>
    <row r="12" spans="1:10" ht="15" customHeight="1" x14ac:dyDescent="0.35">
      <c r="A12" s="19" t="s">
        <v>70</v>
      </c>
      <c r="B12" s="30">
        <f>'3-Statement Model'!B55</f>
        <v>3861</v>
      </c>
      <c r="C12" s="30">
        <f>'3-Statement Model'!C55</f>
        <v>4361</v>
      </c>
    </row>
    <row r="13" spans="1:10" ht="15" customHeight="1" x14ac:dyDescent="0.35">
      <c r="A13" s="21" t="s">
        <v>105</v>
      </c>
      <c r="B13" s="22">
        <f>B10+B11-B12</f>
        <v>-348</v>
      </c>
      <c r="C13" s="22">
        <f>C10+C11-C12</f>
        <v>-971</v>
      </c>
    </row>
    <row r="15" spans="1:10" ht="15" customHeight="1" x14ac:dyDescent="0.35">
      <c r="A15" s="19" t="s">
        <v>106</v>
      </c>
      <c r="C15" s="27">
        <f>C13-B13</f>
        <v>-623</v>
      </c>
    </row>
    <row r="16" spans="1:10" ht="15" customHeight="1" x14ac:dyDescent="0.35">
      <c r="A16" s="19" t="s">
        <v>107</v>
      </c>
      <c r="C16" s="30">
        <f>'3-Statement Model'!C75</f>
        <v>106</v>
      </c>
    </row>
    <row r="17" spans="1:10" ht="15" customHeight="1" x14ac:dyDescent="0.35">
      <c r="A17" s="28" t="s">
        <v>108</v>
      </c>
      <c r="C17" s="29">
        <f>C16-(-C15)</f>
        <v>-517</v>
      </c>
    </row>
    <row r="18" spans="1:10" ht="6" customHeight="1" x14ac:dyDescent="0.35"/>
    <row r="19" spans="1:10" ht="6" customHeight="1" x14ac:dyDescent="0.35"/>
    <row r="20" spans="1:10" ht="6" customHeight="1" x14ac:dyDescent="0.35"/>
    <row r="21" spans="1:10" ht="6" customHeight="1" x14ac:dyDescent="0.35"/>
    <row r="22" spans="1:10" ht="6" customHeight="1" x14ac:dyDescent="0.35"/>
    <row r="23" spans="1:10" ht="6" customHeight="1" x14ac:dyDescent="0.35"/>
    <row r="24" spans="1:10" ht="6" customHeight="1" x14ac:dyDescent="0.35"/>
    <row r="25" spans="1:10" ht="6" customHeight="1" x14ac:dyDescent="0.35"/>
    <row r="26" spans="1:10" ht="6" customHeight="1" x14ac:dyDescent="0.35"/>
    <row r="27" spans="1:10" ht="6" customHeight="1" x14ac:dyDescent="0.35"/>
    <row r="28" spans="1:10" ht="6" customHeight="1" x14ac:dyDescent="0.35"/>
    <row r="29" spans="1:10" ht="6" customHeight="1" x14ac:dyDescent="0.35">
      <c r="A29" s="11"/>
    </row>
    <row r="30" spans="1:10" ht="15.75" customHeight="1" x14ac:dyDescent="0.4">
      <c r="A30" s="12" t="s">
        <v>109</v>
      </c>
      <c r="B30" s="13"/>
      <c r="C30" s="13"/>
      <c r="D30" s="13"/>
      <c r="E30" s="13"/>
      <c r="F30" s="13"/>
      <c r="G30" s="14"/>
      <c r="J30" s="15" t="s">
        <v>32</v>
      </c>
    </row>
    <row r="32" spans="1:10" ht="15" customHeight="1" x14ac:dyDescent="0.35">
      <c r="A32" s="16"/>
      <c r="B32" s="18" t="s">
        <v>34</v>
      </c>
      <c r="C32" s="18" t="s">
        <v>35</v>
      </c>
    </row>
    <row r="33" spans="1:3" ht="15" customHeight="1" x14ac:dyDescent="0.35">
      <c r="A33" s="7" t="s">
        <v>110</v>
      </c>
    </row>
    <row r="34" spans="1:3" ht="15" customHeight="1" x14ac:dyDescent="0.35">
      <c r="A34" s="19" t="s">
        <v>111</v>
      </c>
      <c r="B34" s="20">
        <v>35800</v>
      </c>
      <c r="C34" s="31">
        <f>B36</f>
        <v>38424</v>
      </c>
    </row>
    <row r="35" spans="1:3" ht="15" customHeight="1" x14ac:dyDescent="0.35">
      <c r="A35" s="19" t="s">
        <v>112</v>
      </c>
      <c r="B35" s="20">
        <v>2624</v>
      </c>
      <c r="C35" s="20">
        <v>1549</v>
      </c>
    </row>
    <row r="36" spans="1:3" ht="15" customHeight="1" x14ac:dyDescent="0.35">
      <c r="A36" s="21" t="s">
        <v>113</v>
      </c>
      <c r="B36" s="22">
        <f>B34+B35</f>
        <v>38424</v>
      </c>
      <c r="C36" s="22">
        <f>C34+C35</f>
        <v>39973</v>
      </c>
    </row>
    <row r="38" spans="1:3" ht="15" customHeight="1" x14ac:dyDescent="0.35">
      <c r="A38" s="28" t="s">
        <v>114</v>
      </c>
      <c r="C38" s="29">
        <f>C36-'3-Statement Model'!C56</f>
        <v>0</v>
      </c>
    </row>
    <row r="40" spans="1:3" ht="15" customHeight="1" x14ac:dyDescent="0.35">
      <c r="A40" s="7" t="s">
        <v>115</v>
      </c>
    </row>
    <row r="41" spans="1:3" ht="15" customHeight="1" x14ac:dyDescent="0.35">
      <c r="A41" s="19" t="s">
        <v>116</v>
      </c>
      <c r="B41" s="32">
        <v>0.04</v>
      </c>
      <c r="C41" s="32">
        <v>0.04</v>
      </c>
    </row>
    <row r="42" spans="1:3" ht="15" customHeight="1" x14ac:dyDescent="0.35">
      <c r="A42" s="19" t="s">
        <v>117</v>
      </c>
      <c r="B42" s="27">
        <f>(B34+B36)/2</f>
        <v>37112</v>
      </c>
      <c r="C42" s="27">
        <f>(C34+C36)/2</f>
        <v>39198.5</v>
      </c>
    </row>
    <row r="43" spans="1:3" ht="15" customHeight="1" x14ac:dyDescent="0.35">
      <c r="A43" s="19" t="s">
        <v>118</v>
      </c>
      <c r="B43" s="27">
        <f>B42*B41</f>
        <v>1484.48</v>
      </c>
      <c r="C43" s="27">
        <f>C42*C41</f>
        <v>1567.94</v>
      </c>
    </row>
    <row r="44" spans="1:3" ht="15" customHeight="1" x14ac:dyDescent="0.35">
      <c r="A44" s="19" t="s">
        <v>119</v>
      </c>
      <c r="B44" s="30">
        <f>'3-Statement Model'!B26</f>
        <v>1361</v>
      </c>
      <c r="C44" s="30">
        <f>'3-Statement Model'!C26</f>
        <v>1506</v>
      </c>
    </row>
    <row r="45" spans="1:3" ht="15" customHeight="1" x14ac:dyDescent="0.35">
      <c r="A45" s="19" t="s">
        <v>120</v>
      </c>
      <c r="B45" s="27">
        <f>B44-B43</f>
        <v>-123.48000000000002</v>
      </c>
      <c r="C45" s="27">
        <f>C44-C43</f>
        <v>-61.940000000000055</v>
      </c>
    </row>
    <row r="47" spans="1:3" ht="15" customHeight="1" x14ac:dyDescent="0.35">
      <c r="A47" s="7" t="s">
        <v>121</v>
      </c>
    </row>
    <row r="48" spans="1:3" ht="15" customHeight="1" x14ac:dyDescent="0.35">
      <c r="A48" s="19" t="s">
        <v>122</v>
      </c>
      <c r="B48" s="33" t="s">
        <v>123</v>
      </c>
      <c r="C48" s="33" t="s">
        <v>123</v>
      </c>
    </row>
    <row r="49" spans="1:10" ht="15" customHeight="1" x14ac:dyDescent="0.35">
      <c r="A49" s="19" t="s">
        <v>124</v>
      </c>
      <c r="B49" s="34">
        <f>'3-Statement Model'!B77/B36</f>
        <v>0.24588798667499479</v>
      </c>
      <c r="C49" s="34">
        <f>'3-Statement Model'!C77/C36</f>
        <v>0.26397818527506067</v>
      </c>
    </row>
    <row r="54" spans="1:10" ht="15" customHeight="1" x14ac:dyDescent="0.35">
      <c r="A54" s="11"/>
    </row>
    <row r="55" spans="1:10" ht="15.75" customHeight="1" x14ac:dyDescent="0.4">
      <c r="A55" s="12" t="s">
        <v>125</v>
      </c>
      <c r="B55" s="13"/>
      <c r="C55" s="13"/>
      <c r="D55" s="13"/>
      <c r="E55" s="13"/>
      <c r="F55" s="13"/>
      <c r="G55" s="14"/>
      <c r="J55" s="15" t="s">
        <v>32</v>
      </c>
    </row>
    <row r="57" spans="1:10" ht="15" customHeight="1" x14ac:dyDescent="0.35">
      <c r="A57" s="16"/>
      <c r="B57" s="18" t="s">
        <v>34</v>
      </c>
      <c r="C57" s="18" t="s">
        <v>35</v>
      </c>
    </row>
    <row r="58" spans="1:10" ht="15" customHeight="1" x14ac:dyDescent="0.35">
      <c r="A58" s="7" t="s">
        <v>126</v>
      </c>
    </row>
    <row r="59" spans="1:10" ht="15" customHeight="1" x14ac:dyDescent="0.35">
      <c r="A59" s="19" t="s">
        <v>127</v>
      </c>
      <c r="B59" s="20">
        <v>23697</v>
      </c>
      <c r="C59" s="30">
        <f>'3-Statement Model'!B51</f>
        <v>25295</v>
      </c>
    </row>
    <row r="60" spans="1:10" ht="15" customHeight="1" x14ac:dyDescent="0.35">
      <c r="A60" s="19" t="s">
        <v>128</v>
      </c>
      <c r="B60" s="30">
        <f>-'3-Statement Model'!B80</f>
        <v>2775</v>
      </c>
      <c r="C60" s="30">
        <f>-'3-Statement Model'!C80</f>
        <v>3365</v>
      </c>
    </row>
    <row r="61" spans="1:10" ht="15" customHeight="1" x14ac:dyDescent="0.35">
      <c r="A61" s="19" t="s">
        <v>129</v>
      </c>
      <c r="B61" s="30">
        <f>'3-Statement Model'!B19</f>
        <v>382</v>
      </c>
      <c r="C61" s="30">
        <f>'3-Statement Model'!C19</f>
        <v>447</v>
      </c>
    </row>
    <row r="62" spans="1:10" ht="15" customHeight="1" x14ac:dyDescent="0.35">
      <c r="A62" s="19" t="s">
        <v>130</v>
      </c>
      <c r="B62" s="20">
        <f>'3-Statement Model'!B51-(B59+B60-B61)</f>
        <v>-795</v>
      </c>
      <c r="C62" s="31">
        <f>'3-Statement Model'!C51-(C59+C60-C61)</f>
        <v>28</v>
      </c>
    </row>
    <row r="63" spans="1:10" ht="15" customHeight="1" x14ac:dyDescent="0.35">
      <c r="A63" s="21" t="s">
        <v>131</v>
      </c>
      <c r="B63" s="22">
        <f>B59+B60-B61+B62</f>
        <v>25295</v>
      </c>
      <c r="C63" s="22">
        <f>C59+C60-C61+C62</f>
        <v>28241</v>
      </c>
    </row>
    <row r="65" spans="1:3" ht="15" customHeight="1" x14ac:dyDescent="0.35">
      <c r="A65" s="28" t="s">
        <v>132</v>
      </c>
      <c r="C65" s="29">
        <f>C63-'3-Statement Model'!C51</f>
        <v>0</v>
      </c>
    </row>
  </sheetData>
  <pageMargins left="0.75" right="0.75" top="1" bottom="1" header="0.511811023622047" footer="0.511811023622047"/>
  <pageSetup paperSize="9" fitToHeight="0" orientation="landscape"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A291C"/>
    <pageSetUpPr fitToPage="1"/>
  </sheetPr>
  <dimension ref="A1:J82"/>
  <sheetViews>
    <sheetView zoomScaleNormal="100" workbookViewId="0">
      <pane xSplit="1" ySplit="4" topLeftCell="B5" activePane="bottomRight" state="frozen"/>
      <selection pane="topRight" activeCell="B1" sqref="B1"/>
      <selection pane="bottomLeft" activeCell="A5" sqref="A5"/>
      <selection pane="bottomRight"/>
    </sheetView>
  </sheetViews>
  <sheetFormatPr defaultColWidth="8.6328125" defaultRowHeight="14.5" x14ac:dyDescent="0.35"/>
  <cols>
    <col min="1" max="1" width="40" customWidth="1"/>
    <col min="2" max="7" width="12" customWidth="1"/>
    <col min="10" max="10" width="4" customWidth="1"/>
  </cols>
  <sheetData>
    <row r="1" spans="1:10" ht="18" customHeight="1" x14ac:dyDescent="0.45">
      <c r="A1" s="9" t="s">
        <v>133</v>
      </c>
    </row>
    <row r="2" spans="1:10" ht="15" customHeight="1" x14ac:dyDescent="0.35">
      <c r="A2" s="5" t="s">
        <v>134</v>
      </c>
    </row>
    <row r="3" spans="1:10" ht="15" customHeight="1" x14ac:dyDescent="0.35">
      <c r="A3" s="5" t="s">
        <v>135</v>
      </c>
      <c r="B3" s="10"/>
    </row>
    <row r="5" spans="1:10" ht="15" customHeight="1" x14ac:dyDescent="0.35">
      <c r="A5" s="11"/>
    </row>
    <row r="6" spans="1:10" ht="15.75" customHeight="1" x14ac:dyDescent="0.4">
      <c r="A6" s="12" t="s">
        <v>136</v>
      </c>
      <c r="B6" s="13"/>
      <c r="C6" s="13"/>
      <c r="D6" s="13"/>
      <c r="E6" s="13"/>
      <c r="F6" s="13"/>
      <c r="G6" s="13"/>
      <c r="J6" s="15" t="s">
        <v>32</v>
      </c>
    </row>
    <row r="8" spans="1:10" ht="15" customHeight="1" x14ac:dyDescent="0.35">
      <c r="A8" s="16"/>
      <c r="B8" s="17" t="s">
        <v>33</v>
      </c>
      <c r="C8" s="17" t="s">
        <v>34</v>
      </c>
      <c r="D8" s="17" t="s">
        <v>35</v>
      </c>
    </row>
    <row r="9" spans="1:10" ht="15" customHeight="1" x14ac:dyDescent="0.35">
      <c r="A9" s="7" t="s">
        <v>137</v>
      </c>
    </row>
    <row r="10" spans="1:10" ht="15" customHeight="1" x14ac:dyDescent="0.35">
      <c r="A10" s="19" t="s">
        <v>138</v>
      </c>
      <c r="B10" s="20">
        <v>10568</v>
      </c>
      <c r="C10" s="20">
        <v>10631</v>
      </c>
      <c r="D10" s="20">
        <v>10825</v>
      </c>
    </row>
    <row r="11" spans="1:10" ht="15" customHeight="1" x14ac:dyDescent="0.35">
      <c r="A11" s="19" t="s">
        <v>139</v>
      </c>
      <c r="B11" s="20">
        <v>12382</v>
      </c>
      <c r="C11" s="20">
        <v>12628</v>
      </c>
      <c r="D11" s="20">
        <v>13633</v>
      </c>
    </row>
    <row r="12" spans="1:10" ht="15" customHeight="1" x14ac:dyDescent="0.35">
      <c r="A12" s="19" t="s">
        <v>140</v>
      </c>
      <c r="B12" s="20">
        <v>2543</v>
      </c>
      <c r="C12" s="20">
        <v>2661</v>
      </c>
      <c r="D12" s="20">
        <v>2427</v>
      </c>
    </row>
    <row r="13" spans="1:10" ht="15" customHeight="1" x14ac:dyDescent="0.35">
      <c r="A13" s="21" t="s">
        <v>141</v>
      </c>
      <c r="B13" s="22">
        <f>SUM(B10:B12)</f>
        <v>25493</v>
      </c>
      <c r="C13" s="22">
        <f>SUM(C10:C12)</f>
        <v>25920</v>
      </c>
      <c r="D13" s="22">
        <f>SUM(D10:D12)</f>
        <v>26885</v>
      </c>
    </row>
    <row r="15" spans="1:10" ht="15" customHeight="1" x14ac:dyDescent="0.35">
      <c r="A15" s="7" t="s">
        <v>142</v>
      </c>
    </row>
    <row r="16" spans="1:10" ht="15" customHeight="1" x14ac:dyDescent="0.35">
      <c r="A16" s="19" t="s">
        <v>138</v>
      </c>
      <c r="B16" s="20">
        <v>5694</v>
      </c>
      <c r="C16" s="20">
        <v>5733</v>
      </c>
      <c r="D16" s="20">
        <v>5808</v>
      </c>
    </row>
    <row r="17" spans="1:4" ht="15" customHeight="1" x14ac:dyDescent="0.35">
      <c r="A17" s="19" t="s">
        <v>139</v>
      </c>
      <c r="B17" s="20">
        <v>5831</v>
      </c>
      <c r="C17" s="20">
        <v>5946</v>
      </c>
      <c r="D17" s="20">
        <v>6382</v>
      </c>
    </row>
    <row r="18" spans="1:4" ht="15" customHeight="1" x14ac:dyDescent="0.35">
      <c r="A18" s="19" t="s">
        <v>140</v>
      </c>
      <c r="B18" s="20">
        <v>121</v>
      </c>
      <c r="C18" s="20">
        <v>33</v>
      </c>
      <c r="D18" s="20">
        <v>203</v>
      </c>
    </row>
    <row r="19" spans="1:4" ht="15" customHeight="1" x14ac:dyDescent="0.35">
      <c r="A19" s="21" t="s">
        <v>143</v>
      </c>
      <c r="B19" s="22">
        <f>SUM(B16:B18)</f>
        <v>11646</v>
      </c>
      <c r="C19" s="22">
        <f>SUM(C16:C18)</f>
        <v>11712</v>
      </c>
      <c r="D19" s="22">
        <f>SUM(D16:D18)</f>
        <v>12393</v>
      </c>
    </row>
    <row r="21" spans="1:4" ht="15" customHeight="1" x14ac:dyDescent="0.35">
      <c r="A21" s="7" t="s">
        <v>144</v>
      </c>
    </row>
    <row r="22" spans="1:4" ht="15" customHeight="1" x14ac:dyDescent="0.35">
      <c r="A22" s="19" t="s">
        <v>138</v>
      </c>
      <c r="B22" s="25">
        <f t="shared" ref="B22:D24" si="0">B16/B10</f>
        <v>0.53879636638909911</v>
      </c>
      <c r="C22" s="25">
        <f t="shared" si="0"/>
        <v>0.53927194055121819</v>
      </c>
      <c r="D22" s="25">
        <f t="shared" si="0"/>
        <v>0.53653579676674368</v>
      </c>
    </row>
    <row r="23" spans="1:4" ht="15" customHeight="1" x14ac:dyDescent="0.35">
      <c r="A23" s="19" t="s">
        <v>139</v>
      </c>
      <c r="B23" s="25">
        <f t="shared" si="0"/>
        <v>0.47092553706994023</v>
      </c>
      <c r="C23" s="25">
        <f t="shared" si="0"/>
        <v>0.47085840988280014</v>
      </c>
      <c r="D23" s="25">
        <f t="shared" si="0"/>
        <v>0.46812880510525928</v>
      </c>
    </row>
    <row r="24" spans="1:4" ht="15" customHeight="1" x14ac:dyDescent="0.35">
      <c r="A24" s="19" t="s">
        <v>140</v>
      </c>
      <c r="B24" s="25">
        <f t="shared" si="0"/>
        <v>4.7581596539520252E-2</v>
      </c>
      <c r="C24" s="25">
        <f t="shared" si="0"/>
        <v>1.2401352874859075E-2</v>
      </c>
      <c r="D24" s="25">
        <f t="shared" si="0"/>
        <v>8.3642356819118246E-2</v>
      </c>
    </row>
    <row r="26" spans="1:4" ht="15" customHeight="1" x14ac:dyDescent="0.35">
      <c r="A26" s="28" t="s">
        <v>145</v>
      </c>
      <c r="D26" s="29">
        <f>D13-'3-Statement Model'!D13</f>
        <v>0</v>
      </c>
    </row>
    <row r="27" spans="1:4" ht="15" customHeight="1" x14ac:dyDescent="0.35">
      <c r="A27" s="28" t="s">
        <v>146</v>
      </c>
      <c r="D27" s="29">
        <f>D19-'3-Statement Model'!D24</f>
        <v>0</v>
      </c>
    </row>
    <row r="28" spans="1:4" ht="6" customHeight="1" x14ac:dyDescent="0.35"/>
    <row r="29" spans="1:4" ht="6" customHeight="1" x14ac:dyDescent="0.35"/>
    <row r="30" spans="1:4" ht="6" customHeight="1" x14ac:dyDescent="0.35"/>
    <row r="31" spans="1:4" ht="6" customHeight="1" x14ac:dyDescent="0.35"/>
    <row r="32" spans="1:4" ht="6" customHeight="1" x14ac:dyDescent="0.35"/>
    <row r="33" spans="1:10" ht="6" customHeight="1" x14ac:dyDescent="0.35"/>
    <row r="34" spans="1:10" ht="6" customHeight="1" x14ac:dyDescent="0.35"/>
    <row r="35" spans="1:10" ht="6" customHeight="1" x14ac:dyDescent="0.35"/>
    <row r="36" spans="1:10" ht="6" customHeight="1" x14ac:dyDescent="0.35"/>
    <row r="37" spans="1:10" ht="6" customHeight="1" x14ac:dyDescent="0.35"/>
    <row r="38" spans="1:10" ht="6" customHeight="1" x14ac:dyDescent="0.35"/>
    <row r="39" spans="1:10" ht="6" customHeight="1" x14ac:dyDescent="0.35">
      <c r="A39" s="11"/>
    </row>
    <row r="40" spans="1:10" ht="15.75" customHeight="1" x14ac:dyDescent="0.4">
      <c r="A40" s="12" t="s">
        <v>147</v>
      </c>
      <c r="B40" s="13"/>
      <c r="C40" s="13"/>
      <c r="D40" s="13"/>
      <c r="E40" s="13"/>
      <c r="F40" s="13"/>
      <c r="G40" s="13"/>
      <c r="J40" s="15" t="s">
        <v>32</v>
      </c>
    </row>
    <row r="41" spans="1:10" ht="15" customHeight="1" x14ac:dyDescent="0.35">
      <c r="A41" s="5" t="s">
        <v>148</v>
      </c>
    </row>
    <row r="43" spans="1:10" ht="15" customHeight="1" x14ac:dyDescent="0.35">
      <c r="A43" s="16"/>
      <c r="B43" s="35" t="s">
        <v>149</v>
      </c>
      <c r="C43" s="35" t="s">
        <v>150</v>
      </c>
      <c r="D43" s="35" t="s">
        <v>151</v>
      </c>
      <c r="E43" s="35" t="s">
        <v>152</v>
      </c>
      <c r="F43" s="35" t="s">
        <v>153</v>
      </c>
      <c r="G43" s="35" t="s">
        <v>154</v>
      </c>
    </row>
    <row r="44" spans="1:10" ht="15" customHeight="1" x14ac:dyDescent="0.35">
      <c r="A44" s="19" t="s">
        <v>138</v>
      </c>
      <c r="B44" s="30">
        <f t="shared" ref="B44:C46" si="1">C10</f>
        <v>10631</v>
      </c>
      <c r="C44" s="30">
        <f t="shared" si="1"/>
        <v>10825</v>
      </c>
      <c r="D44" s="25">
        <f t="shared" ref="D44:E47" si="2">B44/B$47</f>
        <v>0.4101466049382716</v>
      </c>
      <c r="E44" s="25">
        <f t="shared" si="2"/>
        <v>0.40264087781290681</v>
      </c>
      <c r="F44" s="25">
        <f t="shared" ref="F44:G46" si="3">C22</f>
        <v>0.53927194055121819</v>
      </c>
      <c r="G44" s="25">
        <f t="shared" si="3"/>
        <v>0.53653579676674368</v>
      </c>
    </row>
    <row r="45" spans="1:10" ht="15" customHeight="1" x14ac:dyDescent="0.35">
      <c r="A45" s="19" t="s">
        <v>139</v>
      </c>
      <c r="B45" s="30">
        <f t="shared" si="1"/>
        <v>12628</v>
      </c>
      <c r="C45" s="30">
        <f t="shared" si="1"/>
        <v>13633</v>
      </c>
      <c r="D45" s="25">
        <f t="shared" si="2"/>
        <v>0.48719135802469138</v>
      </c>
      <c r="E45" s="25">
        <f t="shared" si="2"/>
        <v>0.50708573554026404</v>
      </c>
      <c r="F45" s="25">
        <f t="shared" si="3"/>
        <v>0.47085840988280014</v>
      </c>
      <c r="G45" s="25">
        <f t="shared" si="3"/>
        <v>0.46812880510525928</v>
      </c>
    </row>
    <row r="46" spans="1:10" ht="15" customHeight="1" x14ac:dyDescent="0.35">
      <c r="A46" s="19" t="s">
        <v>140</v>
      </c>
      <c r="B46" s="30">
        <f t="shared" si="1"/>
        <v>2661</v>
      </c>
      <c r="C46" s="30">
        <f t="shared" si="1"/>
        <v>2427</v>
      </c>
      <c r="D46" s="25">
        <f t="shared" si="2"/>
        <v>0.10266203703703704</v>
      </c>
      <c r="E46" s="25">
        <f t="shared" si="2"/>
        <v>9.0273386646829087E-2</v>
      </c>
      <c r="F46" s="25">
        <f t="shared" si="3"/>
        <v>1.2401352874859075E-2</v>
      </c>
      <c r="G46" s="25">
        <f t="shared" si="3"/>
        <v>8.3642356819118246E-2</v>
      </c>
    </row>
    <row r="47" spans="1:10" ht="15" customHeight="1" x14ac:dyDescent="0.35">
      <c r="A47" s="21" t="s">
        <v>155</v>
      </c>
      <c r="B47" s="36">
        <f>SUM(B44:B46)</f>
        <v>25920</v>
      </c>
      <c r="C47" s="36">
        <f>SUM(C44:C46)</f>
        <v>26885</v>
      </c>
      <c r="D47" s="23">
        <f t="shared" si="2"/>
        <v>1</v>
      </c>
      <c r="E47" s="23">
        <f t="shared" si="2"/>
        <v>1</v>
      </c>
      <c r="F47" s="25">
        <f>C19/C13</f>
        <v>0.45185185185185184</v>
      </c>
      <c r="G47" s="25">
        <f>D19/D13</f>
        <v>0.4609633624697787</v>
      </c>
    </row>
    <row r="49" spans="1:5" ht="15" customHeight="1" x14ac:dyDescent="0.35">
      <c r="A49" s="7" t="s">
        <v>156</v>
      </c>
    </row>
    <row r="50" spans="1:5" ht="15" customHeight="1" x14ac:dyDescent="0.35">
      <c r="A50" s="16"/>
      <c r="B50" s="35" t="s">
        <v>157</v>
      </c>
      <c r="C50" s="35" t="s">
        <v>158</v>
      </c>
      <c r="D50" s="35" t="s">
        <v>159</v>
      </c>
      <c r="E50" s="35" t="s">
        <v>160</v>
      </c>
    </row>
    <row r="51" spans="1:5" ht="15" customHeight="1" x14ac:dyDescent="0.35">
      <c r="A51" s="19" t="s">
        <v>138</v>
      </c>
      <c r="B51" s="34">
        <f>E44-D44</f>
        <v>-7.5057271253647917E-3</v>
      </c>
      <c r="C51" s="34">
        <f>B51*F44</f>
        <v>-4.0476280321433879E-3</v>
      </c>
      <c r="D51" s="34">
        <f>G44-F44</f>
        <v>-2.7361437844745096E-3</v>
      </c>
      <c r="E51" s="34">
        <f>E44*D51</f>
        <v>-1.1016833352031454E-3</v>
      </c>
    </row>
    <row r="52" spans="1:5" ht="15" customHeight="1" x14ac:dyDescent="0.35">
      <c r="A52" s="19" t="s">
        <v>139</v>
      </c>
      <c r="B52" s="34">
        <f>E45-D45</f>
        <v>1.9894377515572659E-2</v>
      </c>
      <c r="C52" s="34">
        <f>B52*F45</f>
        <v>9.3674349625906747E-3</v>
      </c>
      <c r="D52" s="34">
        <f>G45-F45</f>
        <v>-2.7296047775408616E-3</v>
      </c>
      <c r="E52" s="34">
        <f>E45*D52</f>
        <v>-1.3841436463535267E-3</v>
      </c>
    </row>
    <row r="53" spans="1:5" ht="15" customHeight="1" x14ac:dyDescent="0.35">
      <c r="A53" s="19" t="s">
        <v>140</v>
      </c>
      <c r="B53" s="34">
        <f>E46-D46</f>
        <v>-1.238865039020795E-2</v>
      </c>
      <c r="C53" s="34">
        <f>B53*F46</f>
        <v>-1.5363602513222938E-4</v>
      </c>
      <c r="D53" s="34">
        <f>G46-F46</f>
        <v>7.1241003944259168E-2</v>
      </c>
      <c r="E53" s="34">
        <f>E46*D53</f>
        <v>6.4311666941683837E-3</v>
      </c>
    </row>
    <row r="54" spans="1:5" ht="15" customHeight="1" x14ac:dyDescent="0.35">
      <c r="A54" s="21" t="s">
        <v>155</v>
      </c>
      <c r="C54" s="37">
        <f>SUM(C51:C53)</f>
        <v>5.1661709053150576E-3</v>
      </c>
      <c r="E54" s="37">
        <f>SUM(E51:E53)</f>
        <v>3.9453397126117118E-3</v>
      </c>
    </row>
    <row r="56" spans="1:5" ht="15" customHeight="1" x14ac:dyDescent="0.35">
      <c r="A56" s="7" t="s">
        <v>161</v>
      </c>
    </row>
    <row r="57" spans="1:5" ht="15" customHeight="1" x14ac:dyDescent="0.35">
      <c r="A57" s="24" t="s">
        <v>162</v>
      </c>
      <c r="B57" s="34">
        <f>F47</f>
        <v>0.45185185185185184</v>
      </c>
    </row>
    <row r="58" spans="1:5" ht="15" customHeight="1" x14ac:dyDescent="0.35">
      <c r="A58" s="24" t="s">
        <v>163</v>
      </c>
      <c r="B58" s="34">
        <f>G47</f>
        <v>0.4609633624697787</v>
      </c>
    </row>
    <row r="59" spans="1:5" ht="15" customHeight="1" x14ac:dyDescent="0.35">
      <c r="A59" s="24" t="s">
        <v>164</v>
      </c>
      <c r="B59" s="34">
        <f>B58-B57</f>
        <v>9.1115106179268657E-3</v>
      </c>
    </row>
    <row r="60" spans="1:5" ht="15" customHeight="1" x14ac:dyDescent="0.35">
      <c r="A60" s="24" t="s">
        <v>165</v>
      </c>
      <c r="B60" s="34">
        <f>C54+E54</f>
        <v>9.1115106179267685E-3</v>
      </c>
    </row>
    <row r="61" spans="1:5" ht="15" customHeight="1" x14ac:dyDescent="0.35">
      <c r="A61" s="28" t="s">
        <v>166</v>
      </c>
      <c r="B61" s="38">
        <f>B59-B60</f>
        <v>9.7144514654701197E-17</v>
      </c>
    </row>
    <row r="63" spans="1:5" ht="15" customHeight="1" x14ac:dyDescent="0.35">
      <c r="A63" s="7" t="s">
        <v>167</v>
      </c>
    </row>
    <row r="64" spans="1:5" ht="15" customHeight="1" x14ac:dyDescent="0.35">
      <c r="A64" s="24" t="s">
        <v>168</v>
      </c>
    </row>
    <row r="65" spans="1:6" ht="15" customHeight="1" x14ac:dyDescent="0.35">
      <c r="A65" s="24" t="s">
        <v>169</v>
      </c>
    </row>
    <row r="66" spans="1:6" ht="15" customHeight="1" x14ac:dyDescent="0.35">
      <c r="A66" s="24" t="s">
        <v>170</v>
      </c>
    </row>
    <row r="67" spans="1:6" ht="15" customHeight="1" x14ac:dyDescent="0.35">
      <c r="A67" s="24" t="s">
        <v>171</v>
      </c>
    </row>
    <row r="68" spans="1:6" ht="15" customHeight="1" x14ac:dyDescent="0.35">
      <c r="A68" s="24" t="s">
        <v>172</v>
      </c>
    </row>
    <row r="70" spans="1:6" ht="15" customHeight="1" x14ac:dyDescent="0.35">
      <c r="A70" s="24" t="s">
        <v>173</v>
      </c>
    </row>
    <row r="71" spans="1:6" ht="15" customHeight="1" x14ac:dyDescent="0.35">
      <c r="A71" s="24" t="s">
        <v>174</v>
      </c>
    </row>
    <row r="73" spans="1:6" ht="15" customHeight="1" x14ac:dyDescent="0.35">
      <c r="A73" s="7" t="s">
        <v>175</v>
      </c>
    </row>
    <row r="74" spans="1:6" ht="15" customHeight="1" x14ac:dyDescent="0.35">
      <c r="A74" s="21" t="s">
        <v>176</v>
      </c>
      <c r="B74" s="21" t="s">
        <v>177</v>
      </c>
      <c r="C74" s="21" t="s">
        <v>178</v>
      </c>
      <c r="D74" s="21" t="s">
        <v>179</v>
      </c>
      <c r="E74" s="21" t="s">
        <v>155</v>
      </c>
    </row>
    <row r="75" spans="1:6" ht="15" customHeight="1" x14ac:dyDescent="0.35">
      <c r="A75" t="s">
        <v>180</v>
      </c>
      <c r="B75" s="34">
        <v>0</v>
      </c>
      <c r="C75" s="34">
        <v>0</v>
      </c>
      <c r="D75" s="34">
        <v>0</v>
      </c>
      <c r="E75" s="34">
        <f>B57</f>
        <v>0.45185185185185184</v>
      </c>
      <c r="F75" s="34">
        <f>B57</f>
        <v>0.45185185185185184</v>
      </c>
    </row>
    <row r="76" spans="1:6" ht="15" customHeight="1" x14ac:dyDescent="0.35">
      <c r="A76" t="s">
        <v>181</v>
      </c>
      <c r="B76" s="34">
        <f>MIN(F75,F75+C51)</f>
        <v>0.44780422381970847</v>
      </c>
      <c r="C76" s="34">
        <f>IF(C51&lt;0,ABS(C51),0)</f>
        <v>4.0476280321433879E-3</v>
      </c>
      <c r="D76" s="34">
        <f>IF(C51&gt;=0,ABS(C51),0)</f>
        <v>0</v>
      </c>
      <c r="E76" s="34">
        <v>0</v>
      </c>
      <c r="F76" s="34">
        <f>F75+C51</f>
        <v>0.44780422381970847</v>
      </c>
    </row>
    <row r="77" spans="1:6" ht="15" customHeight="1" x14ac:dyDescent="0.35">
      <c r="A77" t="s">
        <v>182</v>
      </c>
      <c r="B77" s="34">
        <f>MIN(F76,F76+E51)</f>
        <v>0.44670254048450531</v>
      </c>
      <c r="C77" s="34">
        <f>IF(E51&lt;0,ABS(E51),0)</f>
        <v>1.1016833352031454E-3</v>
      </c>
      <c r="D77" s="34">
        <f>IF(E51&gt;=0,ABS(E51),0)</f>
        <v>0</v>
      </c>
      <c r="E77" s="34">
        <v>0</v>
      </c>
      <c r="F77" s="34">
        <f>F76+E51</f>
        <v>0.44670254048450531</v>
      </c>
    </row>
    <row r="78" spans="1:6" ht="15" customHeight="1" x14ac:dyDescent="0.35">
      <c r="A78" t="s">
        <v>183</v>
      </c>
      <c r="B78" s="34">
        <f>MIN(F77,F77+C52)</f>
        <v>0.44670254048450531</v>
      </c>
      <c r="C78" s="34">
        <f>IF(C52&lt;0,ABS(C52),0)</f>
        <v>0</v>
      </c>
      <c r="D78" s="34">
        <f>IF(C52&gt;=0,ABS(C52),0)</f>
        <v>9.3674349625906747E-3</v>
      </c>
      <c r="E78" s="34">
        <v>0</v>
      </c>
      <c r="F78" s="34">
        <f>F77+C52</f>
        <v>0.45606997544709599</v>
      </c>
    </row>
    <row r="79" spans="1:6" ht="15" customHeight="1" x14ac:dyDescent="0.35">
      <c r="A79" t="s">
        <v>184</v>
      </c>
      <c r="B79" s="34">
        <f>MIN(F78,F78+E52)</f>
        <v>0.45468583180074246</v>
      </c>
      <c r="C79" s="34">
        <f>IF(E52&lt;0,ABS(E52),0)</f>
        <v>1.3841436463535267E-3</v>
      </c>
      <c r="D79" s="34">
        <f>IF(E52&gt;=0,ABS(E52),0)</f>
        <v>0</v>
      </c>
      <c r="E79" s="34">
        <v>0</v>
      </c>
      <c r="F79" s="34">
        <f>F78+E52</f>
        <v>0.45468583180074246</v>
      </c>
    </row>
    <row r="80" spans="1:6" ht="15" customHeight="1" x14ac:dyDescent="0.35">
      <c r="A80" t="s">
        <v>185</v>
      </c>
      <c r="B80" s="34">
        <f>MIN(F79,F79+C53)</f>
        <v>0.45453219577561021</v>
      </c>
      <c r="C80" s="34">
        <f>IF(C53&lt;0,ABS(C53),0)</f>
        <v>1.5363602513222938E-4</v>
      </c>
      <c r="D80" s="34">
        <f>IF(C53&gt;=0,ABS(C53),0)</f>
        <v>0</v>
      </c>
      <c r="E80" s="34">
        <v>0</v>
      </c>
      <c r="F80" s="34">
        <f>F79+C53</f>
        <v>0.45453219577561021</v>
      </c>
    </row>
    <row r="81" spans="1:6" ht="15" customHeight="1" x14ac:dyDescent="0.35">
      <c r="A81" t="s">
        <v>186</v>
      </c>
      <c r="B81" s="34">
        <f>MIN(F80,F80+E53)</f>
        <v>0.45453219577561021</v>
      </c>
      <c r="C81" s="34">
        <f>IF(E53&lt;0,ABS(E53),0)</f>
        <v>0</v>
      </c>
      <c r="D81" s="34">
        <f>IF(E53&gt;=0,ABS(E53),0)</f>
        <v>6.4311666941683837E-3</v>
      </c>
      <c r="E81" s="34">
        <v>0</v>
      </c>
      <c r="F81" s="34">
        <f>F80+E53</f>
        <v>0.46096336246977859</v>
      </c>
    </row>
    <row r="82" spans="1:6" ht="15" customHeight="1" x14ac:dyDescent="0.35">
      <c r="A82" t="s">
        <v>187</v>
      </c>
      <c r="B82" s="34">
        <v>0</v>
      </c>
      <c r="C82" s="34">
        <v>0</v>
      </c>
      <c r="D82" s="34">
        <v>0</v>
      </c>
      <c r="E82" s="34">
        <f>B58</f>
        <v>0.4609633624697787</v>
      </c>
      <c r="F82" s="34">
        <f>B58</f>
        <v>0.4609633624697787</v>
      </c>
    </row>
  </sheetData>
  <pageMargins left="0.75" right="0.75" top="1" bottom="1" header="0.511811023622047" footer="0.511811023622047"/>
  <pageSetup paperSize="9" fitToHeight="0" orientation="landscape" horizontalDpi="300" verticalDpi="300"/>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72C"/>
    <pageSetUpPr fitToPage="1"/>
  </sheetPr>
  <dimension ref="A1:J101"/>
  <sheetViews>
    <sheetView zoomScaleNormal="100" workbookViewId="0">
      <pane xSplit="1" ySplit="4" topLeftCell="B5" activePane="bottomRight" state="frozen"/>
      <selection pane="topRight" activeCell="B1" sqref="B1"/>
      <selection pane="bottomLeft" activeCell="A5" sqref="A5"/>
      <selection pane="bottomRight"/>
    </sheetView>
  </sheetViews>
  <sheetFormatPr defaultColWidth="8.6328125" defaultRowHeight="14.5" x14ac:dyDescent="0.35"/>
  <cols>
    <col min="1" max="1" width="42" customWidth="1"/>
    <col min="2" max="8" width="15" customWidth="1"/>
    <col min="10" max="10" width="4" customWidth="1"/>
  </cols>
  <sheetData>
    <row r="1" spans="1:10" ht="18" customHeight="1" x14ac:dyDescent="0.45">
      <c r="A1" s="9" t="s">
        <v>188</v>
      </c>
    </row>
    <row r="2" spans="1:10" ht="15" customHeight="1" x14ac:dyDescent="0.35">
      <c r="A2" s="5" t="s">
        <v>189</v>
      </c>
    </row>
    <row r="3" spans="1:10" ht="15" customHeight="1" x14ac:dyDescent="0.35">
      <c r="A3" s="5" t="s">
        <v>190</v>
      </c>
      <c r="B3" s="10"/>
    </row>
    <row r="5" spans="1:10" ht="15" customHeight="1" x14ac:dyDescent="0.35">
      <c r="A5" s="11"/>
    </row>
    <row r="6" spans="1:10" ht="15.75" customHeight="1" x14ac:dyDescent="0.4">
      <c r="A6" s="12" t="s">
        <v>191</v>
      </c>
      <c r="B6" s="13"/>
      <c r="C6" s="13"/>
      <c r="D6" s="13"/>
      <c r="E6" s="13"/>
      <c r="F6" s="13"/>
      <c r="G6" s="13"/>
      <c r="H6" s="39"/>
      <c r="J6" s="15" t="s">
        <v>32</v>
      </c>
    </row>
    <row r="8" spans="1:10" ht="15" customHeight="1" x14ac:dyDescent="0.35">
      <c r="A8" s="7" t="s">
        <v>192</v>
      </c>
    </row>
    <row r="9" spans="1:10" ht="15" customHeight="1" x14ac:dyDescent="0.35">
      <c r="A9" s="19" t="s">
        <v>193</v>
      </c>
      <c r="B9" s="32">
        <v>4.7899999999999998E-2</v>
      </c>
    </row>
    <row r="10" spans="1:10" ht="15" customHeight="1" x14ac:dyDescent="0.35">
      <c r="A10" s="19" t="s">
        <v>194</v>
      </c>
      <c r="B10" s="40">
        <v>0.6</v>
      </c>
    </row>
    <row r="11" spans="1:10" ht="15" customHeight="1" x14ac:dyDescent="0.35">
      <c r="A11" s="19" t="s">
        <v>195</v>
      </c>
      <c r="B11" s="32">
        <v>4.4499999999999998E-2</v>
      </c>
    </row>
    <row r="12" spans="1:10" ht="15" customHeight="1" x14ac:dyDescent="0.35">
      <c r="A12" s="21" t="s">
        <v>196</v>
      </c>
      <c r="B12" s="41">
        <f>B9+B10*B11</f>
        <v>7.46E-2</v>
      </c>
    </row>
    <row r="14" spans="1:10" ht="15" customHeight="1" x14ac:dyDescent="0.35">
      <c r="A14" s="7" t="s">
        <v>197</v>
      </c>
    </row>
    <row r="15" spans="1:10" ht="15" customHeight="1" x14ac:dyDescent="0.35">
      <c r="A15" s="19" t="s">
        <v>198</v>
      </c>
      <c r="B15" s="32">
        <v>4.4999999999999998E-2</v>
      </c>
    </row>
    <row r="16" spans="1:10" ht="15" customHeight="1" x14ac:dyDescent="0.35">
      <c r="A16" s="19" t="s">
        <v>199</v>
      </c>
      <c r="B16" s="42">
        <f>'3-Statement Model'!D30/'3-Statement Model'!D28</f>
        <v>0.21416773719948615</v>
      </c>
    </row>
    <row r="17" spans="1:2" ht="15" customHeight="1" x14ac:dyDescent="0.35">
      <c r="A17" s="21" t="s">
        <v>200</v>
      </c>
      <c r="B17" s="41">
        <f>B15*(1-B16)</f>
        <v>3.5362451826023121E-2</v>
      </c>
    </row>
    <row r="19" spans="1:2" ht="15" customHeight="1" x14ac:dyDescent="0.35">
      <c r="A19" s="7" t="s">
        <v>201</v>
      </c>
    </row>
    <row r="20" spans="1:2" ht="15" customHeight="1" x14ac:dyDescent="0.35">
      <c r="A20" s="19" t="s">
        <v>202</v>
      </c>
      <c r="B20" s="20">
        <v>711</v>
      </c>
    </row>
    <row r="21" spans="1:2" ht="15" customHeight="1" x14ac:dyDescent="0.35">
      <c r="A21" s="19" t="s">
        <v>203</v>
      </c>
      <c r="B21" s="20">
        <v>307</v>
      </c>
    </row>
    <row r="22" spans="1:2" ht="15" customHeight="1" x14ac:dyDescent="0.35">
      <c r="A22" s="21" t="s">
        <v>204</v>
      </c>
      <c r="B22" s="22">
        <f>B20*B21</f>
        <v>218277</v>
      </c>
    </row>
    <row r="23" spans="1:2" ht="15" customHeight="1" x14ac:dyDescent="0.35">
      <c r="A23" s="19" t="s">
        <v>205</v>
      </c>
      <c r="B23" s="30">
        <f>'3-Statement Model'!C56</f>
        <v>39973</v>
      </c>
    </row>
    <row r="24" spans="1:2" ht="15" customHeight="1" x14ac:dyDescent="0.35">
      <c r="A24" s="21" t="s">
        <v>206</v>
      </c>
      <c r="B24" s="22">
        <f>B22+B23</f>
        <v>258250</v>
      </c>
    </row>
    <row r="25" spans="1:2" ht="15" customHeight="1" x14ac:dyDescent="0.35">
      <c r="A25" s="19" t="s">
        <v>207</v>
      </c>
      <c r="B25" s="34">
        <f>B22/B24</f>
        <v>0.84521587608906101</v>
      </c>
    </row>
    <row r="26" spans="1:2" ht="15" customHeight="1" x14ac:dyDescent="0.35">
      <c r="A26" s="19" t="s">
        <v>208</v>
      </c>
      <c r="B26" s="34">
        <f>B23/B24</f>
        <v>0.15478412391093901</v>
      </c>
    </row>
    <row r="28" spans="1:2" ht="15" customHeight="1" x14ac:dyDescent="0.35">
      <c r="A28" s="21" t="s">
        <v>209</v>
      </c>
      <c r="B28" s="41">
        <f>B25*B12+B26*B17</f>
        <v>6.8526650481477727E-2</v>
      </c>
    </row>
    <row r="30" spans="1:2" ht="15" customHeight="1" x14ac:dyDescent="0.35">
      <c r="A30" s="5" t="s">
        <v>210</v>
      </c>
    </row>
    <row r="31" spans="1:2" ht="15" customHeight="1" x14ac:dyDescent="0.35">
      <c r="A31" s="5" t="s">
        <v>211</v>
      </c>
    </row>
    <row r="34" spans="1:10" ht="15" customHeight="1" x14ac:dyDescent="0.35">
      <c r="A34" s="11"/>
    </row>
    <row r="35" spans="1:10" ht="15.75" customHeight="1" x14ac:dyDescent="0.4">
      <c r="A35" s="12" t="s">
        <v>212</v>
      </c>
      <c r="B35" s="13"/>
      <c r="C35" s="13"/>
      <c r="D35" s="13"/>
      <c r="E35" s="13"/>
      <c r="F35" s="13"/>
      <c r="G35" s="13"/>
      <c r="H35" s="39"/>
      <c r="J35" s="15" t="s">
        <v>32</v>
      </c>
    </row>
    <row r="37" spans="1:10" ht="15" customHeight="1" x14ac:dyDescent="0.35">
      <c r="A37" s="7" t="s">
        <v>213</v>
      </c>
    </row>
    <row r="38" spans="1:10" ht="15" customHeight="1" x14ac:dyDescent="0.35">
      <c r="A38" s="19" t="s">
        <v>214</v>
      </c>
      <c r="B38" s="43">
        <v>4.4999999999999998E-2</v>
      </c>
    </row>
    <row r="39" spans="1:10" ht="15" customHeight="1" x14ac:dyDescent="0.35">
      <c r="A39" s="19" t="s">
        <v>215</v>
      </c>
      <c r="B39" s="43">
        <v>-2.5000000000000001E-3</v>
      </c>
    </row>
    <row r="40" spans="1:10" ht="15" customHeight="1" x14ac:dyDescent="0.35">
      <c r="A40" s="19" t="s">
        <v>216</v>
      </c>
      <c r="B40" s="44">
        <f>'3-Statement Model'!D33</f>
        <v>0.4609633624697787</v>
      </c>
    </row>
    <row r="41" spans="1:10" ht="15" customHeight="1" x14ac:dyDescent="0.35">
      <c r="A41" s="19" t="s">
        <v>199</v>
      </c>
      <c r="B41" s="44">
        <f>B16</f>
        <v>0.21416773719948615</v>
      </c>
    </row>
    <row r="42" spans="1:10" ht="15" customHeight="1" x14ac:dyDescent="0.35">
      <c r="A42" s="19" t="s">
        <v>217</v>
      </c>
      <c r="B42" s="44">
        <f>'3-Statement Model'!D19/'3-Statement Model'!D13</f>
        <v>1.6998326204203086E-2</v>
      </c>
    </row>
    <row r="43" spans="1:10" ht="15" customHeight="1" x14ac:dyDescent="0.35">
      <c r="A43" s="19" t="s">
        <v>218</v>
      </c>
      <c r="B43" s="44">
        <f>-'3-Statement Model'!C80/'3-Statement Model'!D13</f>
        <v>0.12516273014692209</v>
      </c>
    </row>
    <row r="44" spans="1:10" ht="15" customHeight="1" x14ac:dyDescent="0.35">
      <c r="A44" s="19" t="s">
        <v>219</v>
      </c>
      <c r="B44" s="25">
        <v>0</v>
      </c>
    </row>
    <row r="45" spans="1:10" ht="15" customHeight="1" x14ac:dyDescent="0.35">
      <c r="A45" s="19" t="s">
        <v>220</v>
      </c>
      <c r="B45" s="44">
        <f>B28</f>
        <v>6.8526650481477727E-2</v>
      </c>
    </row>
    <row r="46" spans="1:10" ht="15" customHeight="1" x14ac:dyDescent="0.35">
      <c r="A46" s="19" t="s">
        <v>221</v>
      </c>
      <c r="B46" s="43">
        <v>2.5000000000000001E-2</v>
      </c>
    </row>
    <row r="48" spans="1:10" ht="15" customHeight="1" x14ac:dyDescent="0.35">
      <c r="A48" s="7" t="s">
        <v>222</v>
      </c>
    </row>
    <row r="49" spans="1:7" ht="15" customHeight="1" x14ac:dyDescent="0.35">
      <c r="A49" s="16"/>
      <c r="B49" s="17" t="s">
        <v>223</v>
      </c>
      <c r="C49" s="17" t="s">
        <v>224</v>
      </c>
      <c r="D49" s="17" t="s">
        <v>225</v>
      </c>
      <c r="E49" s="17" t="s">
        <v>226</v>
      </c>
      <c r="F49" s="17" t="s">
        <v>227</v>
      </c>
      <c r="G49" s="17" t="s">
        <v>228</v>
      </c>
    </row>
    <row r="50" spans="1:7" ht="15" customHeight="1" x14ac:dyDescent="0.35">
      <c r="A50" s="19" t="s">
        <v>229</v>
      </c>
      <c r="C50" s="25">
        <f>$B$38</f>
        <v>4.4999999999999998E-2</v>
      </c>
      <c r="D50" s="25">
        <f>C50+$B$39</f>
        <v>4.2499999999999996E-2</v>
      </c>
      <c r="E50" s="25">
        <f>D50+$B$39</f>
        <v>3.9999999999999994E-2</v>
      </c>
      <c r="F50" s="25">
        <f>E50+$B$39</f>
        <v>3.7499999999999992E-2</v>
      </c>
      <c r="G50" s="25">
        <f>F50+$B$39</f>
        <v>3.4999999999999989E-2</v>
      </c>
    </row>
    <row r="51" spans="1:7" ht="15" customHeight="1" x14ac:dyDescent="0.35">
      <c r="A51" s="19" t="s">
        <v>230</v>
      </c>
      <c r="B51" s="30">
        <f>'3-Statement Model'!D13</f>
        <v>26885</v>
      </c>
      <c r="C51" s="27">
        <f>B51*(1+C50)</f>
        <v>28094.824999999997</v>
      </c>
      <c r="D51" s="27">
        <f>C51*(1+D50)</f>
        <v>29288.855062499995</v>
      </c>
      <c r="E51" s="27">
        <f>D51*(1+E50)</f>
        <v>30460.409264999995</v>
      </c>
      <c r="F51" s="27">
        <f>E51*(1+F50)</f>
        <v>31602.674612437499</v>
      </c>
      <c r="G51" s="27">
        <f>F51*(1+G50)</f>
        <v>32708.768223872808</v>
      </c>
    </row>
    <row r="52" spans="1:7" ht="15" customHeight="1" x14ac:dyDescent="0.35">
      <c r="A52" s="19" t="s">
        <v>50</v>
      </c>
      <c r="B52" s="27">
        <f t="shared" ref="B52:G52" si="0">B51*$B$40</f>
        <v>12393</v>
      </c>
      <c r="C52" s="27">
        <f t="shared" si="0"/>
        <v>12950.684999999999</v>
      </c>
      <c r="D52" s="27">
        <f t="shared" si="0"/>
        <v>13501.089112499998</v>
      </c>
      <c r="E52" s="27">
        <f t="shared" si="0"/>
        <v>14041.132676999998</v>
      </c>
      <c r="F52" s="27">
        <f t="shared" si="0"/>
        <v>14567.675152387499</v>
      </c>
      <c r="G52" s="27">
        <f t="shared" si="0"/>
        <v>15077.543782721061</v>
      </c>
    </row>
    <row r="53" spans="1:7" ht="15" customHeight="1" x14ac:dyDescent="0.35">
      <c r="A53" s="19" t="s">
        <v>231</v>
      </c>
      <c r="B53" s="27">
        <f t="shared" ref="B53:G53" si="1">B52*$B$41</f>
        <v>2654.1807671132319</v>
      </c>
      <c r="C53" s="27">
        <f t="shared" si="1"/>
        <v>2773.6189016333269</v>
      </c>
      <c r="D53" s="27">
        <f t="shared" si="1"/>
        <v>2891.4977049527433</v>
      </c>
      <c r="E53" s="27">
        <f t="shared" si="1"/>
        <v>3007.1576131508527</v>
      </c>
      <c r="F53" s="27">
        <f t="shared" si="1"/>
        <v>3119.92602364401</v>
      </c>
      <c r="G53" s="27">
        <f t="shared" si="1"/>
        <v>3229.1234344715504</v>
      </c>
    </row>
    <row r="54" spans="1:7" ht="15" customHeight="1" x14ac:dyDescent="0.35">
      <c r="A54" s="19" t="s">
        <v>232</v>
      </c>
      <c r="B54" s="27">
        <f t="shared" ref="B54:G54" si="2">B52-B53</f>
        <v>9738.8192328867681</v>
      </c>
      <c r="C54" s="27">
        <f t="shared" si="2"/>
        <v>10177.066098366673</v>
      </c>
      <c r="D54" s="27">
        <f t="shared" si="2"/>
        <v>10609.591407547254</v>
      </c>
      <c r="E54" s="27">
        <f t="shared" si="2"/>
        <v>11033.975063849146</v>
      </c>
      <c r="F54" s="27">
        <f t="shared" si="2"/>
        <v>11447.74912874349</v>
      </c>
      <c r="G54" s="27">
        <f t="shared" si="2"/>
        <v>11848.42034824951</v>
      </c>
    </row>
    <row r="55" spans="1:7" ht="15" customHeight="1" x14ac:dyDescent="0.35">
      <c r="A55" s="19" t="s">
        <v>233</v>
      </c>
      <c r="B55" s="27">
        <f t="shared" ref="B55:G55" si="3">B51*$B$42</f>
        <v>456.99999999999994</v>
      </c>
      <c r="C55" s="27">
        <f t="shared" si="3"/>
        <v>477.56499999999994</v>
      </c>
      <c r="D55" s="27">
        <f t="shared" si="3"/>
        <v>497.86151249999989</v>
      </c>
      <c r="E55" s="27">
        <f t="shared" si="3"/>
        <v>517.77597299999991</v>
      </c>
      <c r="F55" s="27">
        <f t="shared" si="3"/>
        <v>537.19257198749995</v>
      </c>
      <c r="G55" s="27">
        <f t="shared" si="3"/>
        <v>555.99431200706238</v>
      </c>
    </row>
    <row r="56" spans="1:7" ht="15" customHeight="1" x14ac:dyDescent="0.35">
      <c r="A56" s="19" t="s">
        <v>234</v>
      </c>
      <c r="B56" s="27">
        <f t="shared" ref="B56:G56" si="4">B51*$B$43</f>
        <v>3365.0000000000005</v>
      </c>
      <c r="C56" s="27">
        <f t="shared" si="4"/>
        <v>3516.4249999999997</v>
      </c>
      <c r="D56" s="27">
        <f t="shared" si="4"/>
        <v>3665.8730624999998</v>
      </c>
      <c r="E56" s="27">
        <f t="shared" si="4"/>
        <v>3812.5079849999997</v>
      </c>
      <c r="F56" s="27">
        <f t="shared" si="4"/>
        <v>3955.4770344375002</v>
      </c>
      <c r="G56" s="27">
        <f t="shared" si="4"/>
        <v>4093.9187306428125</v>
      </c>
    </row>
    <row r="57" spans="1:7" ht="15" customHeight="1" x14ac:dyDescent="0.35">
      <c r="A57" s="19" t="s">
        <v>235</v>
      </c>
      <c r="B57" s="27">
        <f t="shared" ref="B57:G57" si="5">B51*$B$44</f>
        <v>0</v>
      </c>
      <c r="C57" s="27">
        <f t="shared" si="5"/>
        <v>0</v>
      </c>
      <c r="D57" s="27">
        <f t="shared" si="5"/>
        <v>0</v>
      </c>
      <c r="E57" s="27">
        <f t="shared" si="5"/>
        <v>0</v>
      </c>
      <c r="F57" s="27">
        <f t="shared" si="5"/>
        <v>0</v>
      </c>
      <c r="G57" s="27">
        <f t="shared" si="5"/>
        <v>0</v>
      </c>
    </row>
    <row r="58" spans="1:7" ht="15" customHeight="1" x14ac:dyDescent="0.35">
      <c r="A58" s="21" t="s">
        <v>236</v>
      </c>
      <c r="B58" s="22">
        <f t="shared" ref="B58:G58" si="6">B54+B55-B56-B57</f>
        <v>6830.8192328867681</v>
      </c>
      <c r="C58" s="22">
        <f t="shared" si="6"/>
        <v>7138.2060983666743</v>
      </c>
      <c r="D58" s="22">
        <f t="shared" si="6"/>
        <v>7441.5798575472536</v>
      </c>
      <c r="E58" s="22">
        <f t="shared" si="6"/>
        <v>7739.2430518491456</v>
      </c>
      <c r="F58" s="22">
        <f t="shared" si="6"/>
        <v>8029.4646662934892</v>
      </c>
      <c r="G58" s="22">
        <f t="shared" si="6"/>
        <v>8310.4959296137604</v>
      </c>
    </row>
    <row r="60" spans="1:7" ht="15" customHeight="1" x14ac:dyDescent="0.35">
      <c r="A60" s="7" t="s">
        <v>237</v>
      </c>
    </row>
    <row r="61" spans="1:7" ht="15" customHeight="1" x14ac:dyDescent="0.35">
      <c r="A61" s="19" t="s">
        <v>238</v>
      </c>
      <c r="C61" s="45">
        <v>1</v>
      </c>
      <c r="D61" s="45">
        <v>2</v>
      </c>
      <c r="E61" s="45">
        <v>3</v>
      </c>
      <c r="F61" s="45">
        <v>4</v>
      </c>
      <c r="G61" s="45">
        <v>5</v>
      </c>
    </row>
    <row r="62" spans="1:7" ht="15" customHeight="1" x14ac:dyDescent="0.35">
      <c r="A62" s="19" t="s">
        <v>239</v>
      </c>
      <c r="C62" s="46">
        <f>1/(1+$B$45)^C61</f>
        <v>0.93586809421122108</v>
      </c>
      <c r="D62" s="46">
        <f>1/(1+$B$45)^D61</f>
        <v>0.87584908976254305</v>
      </c>
      <c r="E62" s="46">
        <f>1/(1+$B$45)^E61</f>
        <v>0.81967921845270386</v>
      </c>
      <c r="F62" s="46">
        <f>1/(1+$B$45)^F61</f>
        <v>0.76711162803787514</v>
      </c>
      <c r="G62" s="46">
        <f>1/(1+$B$45)^G61</f>
        <v>0.71791529737907334</v>
      </c>
    </row>
    <row r="63" spans="1:7" ht="15" customHeight="1" x14ac:dyDescent="0.35">
      <c r="A63" s="19" t="s">
        <v>240</v>
      </c>
      <c r="C63" s="27">
        <f>C58*C62</f>
        <v>6680.4193373653352</v>
      </c>
      <c r="D63" s="27">
        <f>D58*D62</f>
        <v>6517.7009446280372</v>
      </c>
      <c r="E63" s="27">
        <f>E58*E62</f>
        <v>6343.6966961552262</v>
      </c>
      <c r="F63" s="27">
        <f>F58*F62</f>
        <v>6159.4957124329921</v>
      </c>
      <c r="G63" s="27">
        <f>G58*G62</f>
        <v>5966.2321566762412</v>
      </c>
    </row>
    <row r="65" spans="1:2" ht="15" customHeight="1" x14ac:dyDescent="0.35">
      <c r="A65" s="21" t="s">
        <v>241</v>
      </c>
      <c r="B65" s="22">
        <f>SUM(C63:G63)</f>
        <v>31667.544847257832</v>
      </c>
    </row>
    <row r="67" spans="1:2" ht="15" customHeight="1" x14ac:dyDescent="0.35">
      <c r="A67" s="19" t="s">
        <v>242</v>
      </c>
      <c r="B67" s="27">
        <f>G58*(1+$B$46)</f>
        <v>8518.2583278541042</v>
      </c>
    </row>
    <row r="68" spans="1:2" ht="15" customHeight="1" x14ac:dyDescent="0.35">
      <c r="A68" s="19" t="s">
        <v>243</v>
      </c>
      <c r="B68" s="27">
        <f>B67/($B$45-$B$46)</f>
        <v>195702.13268486975</v>
      </c>
    </row>
    <row r="69" spans="1:2" ht="15" customHeight="1" x14ac:dyDescent="0.35">
      <c r="A69" s="19" t="s">
        <v>244</v>
      </c>
      <c r="B69" s="27">
        <f>B68*G62</f>
        <v>140497.55478417713</v>
      </c>
    </row>
    <row r="71" spans="1:2" ht="15" customHeight="1" x14ac:dyDescent="0.35">
      <c r="A71" s="21" t="s">
        <v>245</v>
      </c>
      <c r="B71" s="22">
        <f>B65+B69</f>
        <v>172165.09963143498</v>
      </c>
    </row>
    <row r="72" spans="1:2" ht="15" customHeight="1" x14ac:dyDescent="0.35">
      <c r="A72" s="19" t="s">
        <v>246</v>
      </c>
      <c r="B72" s="25">
        <f>B69/B71</f>
        <v>0.81606292497695165</v>
      </c>
    </row>
    <row r="74" spans="1:2" ht="15" customHeight="1" x14ac:dyDescent="0.35">
      <c r="A74" s="7" t="s">
        <v>247</v>
      </c>
    </row>
    <row r="75" spans="1:2" ht="15" customHeight="1" x14ac:dyDescent="0.35">
      <c r="A75" s="19" t="s">
        <v>248</v>
      </c>
      <c r="B75" s="30">
        <f>-'3-Statement Model'!C56</f>
        <v>-39973</v>
      </c>
    </row>
    <row r="76" spans="1:2" ht="15" customHeight="1" x14ac:dyDescent="0.35">
      <c r="A76" s="19" t="s">
        <v>249</v>
      </c>
      <c r="B76" s="30">
        <f>'3-Statement Model'!C44</f>
        <v>774</v>
      </c>
    </row>
    <row r="77" spans="1:2" ht="15" customHeight="1" x14ac:dyDescent="0.35">
      <c r="A77" s="21" t="s">
        <v>250</v>
      </c>
      <c r="B77" s="22">
        <f>B71+B75+B76</f>
        <v>132966.09963143498</v>
      </c>
    </row>
    <row r="78" spans="1:2" ht="15" customHeight="1" x14ac:dyDescent="0.35">
      <c r="A78" s="19" t="s">
        <v>251</v>
      </c>
      <c r="B78" s="33">
        <v>716.4</v>
      </c>
    </row>
    <row r="79" spans="1:2" ht="15" customHeight="1" x14ac:dyDescent="0.35">
      <c r="A79" s="21" t="s">
        <v>252</v>
      </c>
      <c r="B79" s="47">
        <f>B77/B78</f>
        <v>185.60315414773169</v>
      </c>
    </row>
    <row r="80" spans="1:2" ht="15" customHeight="1" x14ac:dyDescent="0.35">
      <c r="A80" s="19" t="s">
        <v>253</v>
      </c>
      <c r="B80" s="48">
        <f>B21</f>
        <v>307</v>
      </c>
    </row>
    <row r="81" spans="1:6" ht="15" customHeight="1" x14ac:dyDescent="0.35">
      <c r="A81" s="19" t="s">
        <v>254</v>
      </c>
      <c r="B81" s="25">
        <f>B79/B80-1</f>
        <v>-0.39542946531683487</v>
      </c>
    </row>
    <row r="83" spans="1:6" ht="15" customHeight="1" x14ac:dyDescent="0.35">
      <c r="A83" s="7" t="s">
        <v>255</v>
      </c>
    </row>
    <row r="84" spans="1:6" ht="15" customHeight="1" x14ac:dyDescent="0.35">
      <c r="A84" s="5" t="s">
        <v>256</v>
      </c>
    </row>
    <row r="86" spans="1:6" ht="15" customHeight="1" x14ac:dyDescent="0.35">
      <c r="A86" s="16" t="s">
        <v>257</v>
      </c>
      <c r="B86" s="49">
        <v>1.4999999999999999E-2</v>
      </c>
      <c r="C86" s="49">
        <v>0.02</v>
      </c>
      <c r="D86" s="49">
        <v>2.5000000000000001E-2</v>
      </c>
      <c r="E86" s="49">
        <v>0.03</v>
      </c>
      <c r="F86" s="49">
        <v>3.5000000000000003E-2</v>
      </c>
    </row>
    <row r="87" spans="1:6" ht="15" customHeight="1" x14ac:dyDescent="0.35">
      <c r="A87" s="50">
        <v>5.8500000000000003E-2</v>
      </c>
      <c r="B87" s="51">
        <f>C58/(1+0.0585)^1+D58/(1+0.0585)^2+E58/(1+0.0585)^3+F58/(1+0.0585)^4+G58/(1+0.0585)^5+((G58*(1+0.015))/(0.0585-0.015))/(1+0.0585)^5</f>
        <v>178493.197719694</v>
      </c>
      <c r="C87" s="51">
        <f>C58/(1+0.0585)^1+D58/(1+0.0585)^2+E58/(1+0.0585)^3+F58/(1+0.0585)^4+G58/(1+0.0585)^5+((G58*(1+0.02))/(0.0585-0.02))/(1+0.0585)^5</f>
        <v>198257.59202360496</v>
      </c>
      <c r="D87" s="51">
        <f>C58/(1+0.0585)^1+D58/(1+0.0585)^2+E58/(1+0.0585)^3+F58/(1+0.0585)^4+G58/(1+0.0585)^5+((G58*(1+0.025))/(0.0585-0.025))/(1+0.0585)^5</f>
        <v>223921.80552271311</v>
      </c>
      <c r="E87" s="51">
        <f>C58/(1+0.0585)^1+D58/(1+0.0585)^2+E58/(1+0.0585)^3+F58/(1+0.0585)^4+G58/(1+0.0585)^5+((G58*(1+0.03))/(0.0585-0.03))/(1+0.0585)^5</f>
        <v>258591.0062144908</v>
      </c>
      <c r="F87" s="51">
        <f>C58/(1+0.0585)^1+D58/(1+0.0585)^2+E58/(1+0.0585)^3+F58/(1+0.0585)^4+G58/(1+0.0585)^5+((G58*(1+0.035))/(0.0585-0.035))/(1+0.0585)^5</f>
        <v>308013.05826447177</v>
      </c>
    </row>
    <row r="88" spans="1:6" ht="15" customHeight="1" x14ac:dyDescent="0.35">
      <c r="A88" s="50">
        <v>6.3500000000000001E-2</v>
      </c>
      <c r="B88" s="51">
        <f>C58/(1+0.0635)^1+D58/(1+0.0635)^2+E58/(1+0.0635)^3+F58/(1+0.0635)^4+G58/(1+0.0635)^5+((G58*(1+0.015))/(0.0635-0.015))/(1+0.0635)^5</f>
        <v>159949.99123580579</v>
      </c>
      <c r="C88" s="51">
        <f>C58/(1+0.0635)^1+D58/(1+0.0635)^2+E58/(1+0.0635)^3+F58/(1+0.0635)^4+G58/(1+0.0635)^5+((G58*(1+0.02))/(0.0635-0.02))/(1+0.0635)^5</f>
        <v>175346.27734332654</v>
      </c>
      <c r="D88" s="51">
        <f>C58/(1+0.0635)^1+D58/(1+0.0635)^2+E58/(1+0.0635)^3+F58/(1+0.0635)^4+G58/(1+0.0635)^5+((G58*(1+0.025))/(0.0635-0.025))/(1+0.0635)^5</f>
        <v>194741.59880344995</v>
      </c>
      <c r="E88" s="51">
        <f>C58/(1+0.0635)^1+D58/(1+0.0635)^2+E58/(1+0.0635)^3+F58/(1+0.0635)^4+G58/(1+0.0635)^5+((G58*(1+0.03))/(0.0635-0.03))/(1+0.0635)^5</f>
        <v>219926.56846062519</v>
      </c>
      <c r="F88" s="51">
        <f>C58/(1+0.0635)^1+D58/(1+0.0635)^2+E58/(1+0.0635)^3+F58/(1+0.0635)^4+G58/(1+0.0635)^5+((G58*(1+0.035))/(0.0635-0.035))/(1+0.0635)^5</f>
        <v>253948.36957645835</v>
      </c>
    </row>
    <row r="89" spans="1:6" ht="15" customHeight="1" x14ac:dyDescent="0.35">
      <c r="A89" s="50">
        <v>6.8500000000000005E-2</v>
      </c>
      <c r="B89" s="51">
        <f>C58/(1+0.0685)^1+D58/(1+0.0685)^2+E58/(1+0.0685)^3+F58/(1+0.0685)^4+G58/(1+0.0685)^5+((G58*(1+0.015))/(0.0685-0.015))/(1+0.0685)^5</f>
        <v>144875.12010019706</v>
      </c>
      <c r="C89" s="51">
        <f>C58/(1+0.0685)^1+D58/(1+0.0685)^2+E58/(1+0.0685)^3+F58/(1+0.0685)^4+G58/(1+0.0685)^5+((G58*(1+0.02))/(0.0685-0.02))/(1+0.0685)^5</f>
        <v>157160.91663910437</v>
      </c>
      <c r="D89" s="52">
        <f>C58/(1+0.0685)^1+D58/(1+0.0685)^2+E58/(1+0.0685)^3+F58/(1+0.0685)^4+G58/(1+0.0685)^5+((G58*(1+0.025))/(0.0685-0.025))/(1+0.0685)^5</f>
        <v>172271.03422143852</v>
      </c>
      <c r="E89" s="51">
        <f>C58/(1+0.0685)^1+D58/(1+0.0685)^2+E58/(1+0.0685)^3+F58/(1+0.0685)^4+G58/(1+0.0685)^5+((G58*(1+0.03))/(0.0685-0.03))/(1+0.0685)^5</f>
        <v>191305.85766931408</v>
      </c>
      <c r="F89" s="51">
        <f>C58/(1+0.0685)^1+D58/(1+0.0685)^2+E58/(1+0.0685)^3+F58/(1+0.0685)^4+G58/(1+0.0685)^5+((G58*(1+0.035))/(0.0685-0.035))/(1+0.0685)^5</f>
        <v>216022.71796730175</v>
      </c>
    </row>
    <row r="90" spans="1:6" ht="15" customHeight="1" x14ac:dyDescent="0.35">
      <c r="A90" s="50">
        <v>7.3499999999999996E-2</v>
      </c>
      <c r="B90" s="51">
        <f>C58/(1+0.0735)^1+D58/(1+0.0735)^2+E58/(1+0.0735)^3+F58/(1+0.0735)^4+G58/(1+0.0735)^5+((G58*(1+0.015))/(0.0735-0.015))/(1+0.0735)^5</f>
        <v>132379.21713267895</v>
      </c>
      <c r="C90" s="51">
        <f>C58/(1+0.0735)^1+D58/(1+0.0735)^2+E58/(1+0.0735)^3+F58/(1+0.0735)^4+G58/(1+0.0735)^5+((G58*(1+0.02))/(0.0735-0.02))/(1+0.0735)^5</f>
        <v>142376.43374687436</v>
      </c>
      <c r="D90" s="51">
        <f>C58/(1+0.0735)^1+D58/(1+0.0735)^2+E58/(1+0.0735)^3+F58/(1+0.0735)^4+G58/(1+0.0735)^5+((G58*(1+0.025))/(0.0735-0.025))/(1+0.0735)^5</f>
        <v>154434.93213719249</v>
      </c>
      <c r="E90" s="51">
        <f>C58/(1+0.0735)^1+D58/(1+0.0735)^2+E58/(1+0.0735)^3+F58/(1+0.0735)^4+G58/(1+0.0735)^5+((G58*(1+0.03))/(0.0735-0.03))/(1+0.0735)^5</f>
        <v>169265.49912298605</v>
      </c>
      <c r="F90" s="51">
        <f>C58/(1+0.0735)^1+D58/(1+0.0735)^2+E58/(1+0.0735)^3+F58/(1+0.0735)^4+G58/(1+0.0735)^5+((G58*(1+0.035))/(0.0735-0.035))/(1+0.0735)^5</f>
        <v>187948.16142976494</v>
      </c>
    </row>
    <row r="91" spans="1:6" ht="15" customHeight="1" x14ac:dyDescent="0.35">
      <c r="A91" s="50">
        <v>7.85E-2</v>
      </c>
      <c r="B91" s="51">
        <f>C58/(1+0.0785)^1+D58/(1+0.0785)^2+E58/(1+0.0785)^3+F58/(1+0.0785)^4+G58/(1+0.0785)^5+((G58*(1+0.015))/(0.0785-0.015))/(1+0.0785)^5</f>
        <v>121853.03215111588</v>
      </c>
      <c r="C91" s="51">
        <f>C58/(1+0.0785)^1+D58/(1+0.0785)^2+E58/(1+0.0785)^3+F58/(1+0.0785)^4+G58/(1+0.0785)^5+((G58*(1+0.02))/(0.0785-0.02))/(1+0.0785)^5</f>
        <v>130120.77111639042</v>
      </c>
      <c r="D91" s="51">
        <f>C58/(1+0.0785)^1+D58/(1+0.0785)^2+E58/(1+0.0785)^3+F58/(1+0.0785)^4+G58/(1+0.0785)^5+((G58*(1+0.025))/(0.0785-0.025))/(1+0.0785)^5</f>
        <v>139933.8818508751</v>
      </c>
      <c r="E91" s="51">
        <f>C58/(1+0.0785)^1+D58/(1+0.0785)^2+E58/(1+0.0785)^3+F58/(1+0.0785)^4+G58/(1+0.0785)^5+((G58*(1+0.03))/(0.0785-0.03))/(1+0.0785)^5</f>
        <v>151770.31438628447</v>
      </c>
      <c r="F91" s="51">
        <f>C58/(1+0.0785)^1+D58/(1+0.0785)^2+E58/(1+0.0785)^3+F58/(1+0.0785)^4+G58/(1+0.0785)^5+((G58*(1+0.035))/(0.0785-0.035))/(1+0.0785)^5</f>
        <v>166327.76589535119</v>
      </c>
    </row>
    <row r="93" spans="1:6" ht="15" customHeight="1" x14ac:dyDescent="0.35">
      <c r="A93" s="5" t="s">
        <v>258</v>
      </c>
    </row>
    <row r="95" spans="1:6" ht="15" customHeight="1" x14ac:dyDescent="0.35">
      <c r="A95" s="7" t="s">
        <v>167</v>
      </c>
    </row>
    <row r="96" spans="1:6" ht="15" customHeight="1" x14ac:dyDescent="0.35">
      <c r="A96" s="24" t="s">
        <v>259</v>
      </c>
    </row>
    <row r="97" spans="1:1" ht="15" customHeight="1" x14ac:dyDescent="0.35">
      <c r="A97" s="24" t="s">
        <v>260</v>
      </c>
    </row>
    <row r="98" spans="1:1" ht="15" customHeight="1" x14ac:dyDescent="0.35">
      <c r="A98" s="24" t="s">
        <v>261</v>
      </c>
    </row>
    <row r="99" spans="1:1" ht="15" customHeight="1" x14ac:dyDescent="0.35">
      <c r="A99" s="24" t="s">
        <v>262</v>
      </c>
    </row>
    <row r="100" spans="1:1" ht="15" customHeight="1" x14ac:dyDescent="0.35">
      <c r="A100" s="24" t="s">
        <v>263</v>
      </c>
    </row>
    <row r="101" spans="1:1" ht="15" customHeight="1" x14ac:dyDescent="0.35">
      <c r="A101" s="24" t="s">
        <v>264</v>
      </c>
    </row>
  </sheetData>
  <pageMargins left="0.75" right="0.75" top="1" bottom="1" header="0.511811023622047" footer="0.511811023622047"/>
  <pageSetup paperSize="9" fitToHeight="0" orientation="landscape" horizontalDpi="300" verticalDpi="3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0A20E-C8E2-4C4B-A710-BCD661F78E02}">
  <dimension ref="A1:C18"/>
  <sheetViews>
    <sheetView tabSelected="1" workbookViewId="0">
      <selection activeCell="B11" sqref="B11"/>
    </sheetView>
  </sheetViews>
  <sheetFormatPr defaultRowHeight="14.5" x14ac:dyDescent="0.35"/>
  <cols>
    <col min="1" max="1" width="9.7265625" bestFit="1" customWidth="1"/>
    <col min="2" max="2" width="44.90625" bestFit="1" customWidth="1"/>
    <col min="3" max="3" width="7.81640625" bestFit="1" customWidth="1"/>
  </cols>
  <sheetData>
    <row r="1" spans="1:3" x14ac:dyDescent="0.35">
      <c r="A1" t="s">
        <v>278</v>
      </c>
      <c r="B1" t="s">
        <v>269</v>
      </c>
      <c r="C1" t="s">
        <v>298</v>
      </c>
    </row>
    <row r="2" spans="1:3" x14ac:dyDescent="0.35">
      <c r="A2" s="56" t="s">
        <v>268</v>
      </c>
      <c r="B2" s="56" t="s">
        <v>274</v>
      </c>
      <c r="C2">
        <v>2138</v>
      </c>
    </row>
    <row r="3" spans="1:3" x14ac:dyDescent="0.35">
      <c r="A3" s="56" t="s">
        <v>268</v>
      </c>
      <c r="B3" s="56" t="s">
        <v>273</v>
      </c>
      <c r="C3">
        <v>680</v>
      </c>
    </row>
    <row r="4" spans="1:3" x14ac:dyDescent="0.35">
      <c r="A4" s="56" t="s">
        <v>268</v>
      </c>
      <c r="B4" s="56" t="s">
        <v>53</v>
      </c>
      <c r="C4">
        <v>2936</v>
      </c>
    </row>
    <row r="5" spans="1:3" x14ac:dyDescent="0.35">
      <c r="A5" s="56" t="s">
        <v>268</v>
      </c>
      <c r="B5" s="56" t="s">
        <v>51</v>
      </c>
      <c r="C5">
        <v>409</v>
      </c>
    </row>
    <row r="6" spans="1:3" x14ac:dyDescent="0.35">
      <c r="A6" s="56" t="s">
        <v>268</v>
      </c>
      <c r="B6" s="56" t="s">
        <v>55</v>
      </c>
      <c r="C6">
        <v>2362</v>
      </c>
    </row>
    <row r="7" spans="1:3" x14ac:dyDescent="0.35">
      <c r="A7" s="56" t="s">
        <v>268</v>
      </c>
      <c r="B7" s="56" t="s">
        <v>52</v>
      </c>
      <c r="C7">
        <v>-6</v>
      </c>
    </row>
    <row r="8" spans="1:3" x14ac:dyDescent="0.35">
      <c r="A8" s="56" t="s">
        <v>268</v>
      </c>
      <c r="B8" s="56" t="s">
        <v>50</v>
      </c>
      <c r="C8">
        <v>3338</v>
      </c>
    </row>
    <row r="9" spans="1:3" x14ac:dyDescent="0.35">
      <c r="A9" s="56" t="s">
        <v>268</v>
      </c>
      <c r="B9" s="56" t="s">
        <v>48</v>
      </c>
      <c r="C9">
        <v>-37</v>
      </c>
    </row>
    <row r="10" spans="1:3" x14ac:dyDescent="0.35">
      <c r="A10" s="56" t="s">
        <v>268</v>
      </c>
      <c r="B10" s="56" t="s">
        <v>45</v>
      </c>
      <c r="C10">
        <v>163</v>
      </c>
    </row>
    <row r="11" spans="1:3" x14ac:dyDescent="0.35">
      <c r="A11" s="56" t="s">
        <v>268</v>
      </c>
      <c r="B11" s="56" t="s">
        <v>40</v>
      </c>
      <c r="C11">
        <v>182</v>
      </c>
    </row>
    <row r="12" spans="1:3" x14ac:dyDescent="0.35">
      <c r="A12" s="56" t="s">
        <v>268</v>
      </c>
      <c r="B12" s="56" t="s">
        <v>54</v>
      </c>
      <c r="C12">
        <v>574</v>
      </c>
    </row>
    <row r="13" spans="1:3" x14ac:dyDescent="0.35">
      <c r="A13" s="56" t="s">
        <v>268</v>
      </c>
      <c r="B13" s="56" t="s">
        <v>38</v>
      </c>
      <c r="C13">
        <v>4393</v>
      </c>
    </row>
    <row r="14" spans="1:3" x14ac:dyDescent="0.35">
      <c r="A14" s="56" t="s">
        <v>268</v>
      </c>
      <c r="B14" s="56" t="s">
        <v>275</v>
      </c>
      <c r="C14">
        <v>111</v>
      </c>
    </row>
    <row r="15" spans="1:3" x14ac:dyDescent="0.35">
      <c r="A15" s="56" t="s">
        <v>268</v>
      </c>
      <c r="B15" s="56" t="s">
        <v>276</v>
      </c>
      <c r="C15">
        <v>706</v>
      </c>
    </row>
    <row r="16" spans="1:3" x14ac:dyDescent="0.35">
      <c r="A16" s="56" t="s">
        <v>268</v>
      </c>
      <c r="B16" s="56" t="s">
        <v>272</v>
      </c>
      <c r="C16">
        <v>2525</v>
      </c>
    </row>
    <row r="17" spans="1:3" x14ac:dyDescent="0.35">
      <c r="A17" s="56" t="s">
        <v>268</v>
      </c>
      <c r="B17" s="56" t="s">
        <v>49</v>
      </c>
      <c r="C17">
        <v>3760</v>
      </c>
    </row>
    <row r="18" spans="1:3" x14ac:dyDescent="0.35">
      <c r="A18" s="56" t="s">
        <v>268</v>
      </c>
      <c r="B18" s="56" t="s">
        <v>41</v>
      </c>
      <c r="C18">
        <v>7099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B6B6B"/>
  </sheetPr>
  <dimension ref="A1:D31"/>
  <sheetViews>
    <sheetView zoomScaleNormal="100" workbookViewId="0">
      <selection activeCell="A7" sqref="A7"/>
    </sheetView>
  </sheetViews>
  <sheetFormatPr defaultColWidth="8.6328125" defaultRowHeight="14.5" x14ac:dyDescent="0.35"/>
  <cols>
    <col min="1" max="1" width="48" customWidth="1"/>
    <col min="2" max="2" width="15" customWidth="1"/>
    <col min="3" max="3" width="17" customWidth="1"/>
  </cols>
  <sheetData>
    <row r="1" spans="1:3" ht="18" customHeight="1" x14ac:dyDescent="0.45">
      <c r="A1" s="9" t="s">
        <v>265</v>
      </c>
    </row>
    <row r="2" spans="1:3" ht="15" customHeight="1" x14ac:dyDescent="0.35">
      <c r="A2" s="5" t="s">
        <v>266</v>
      </c>
    </row>
    <row r="4" spans="1:3" ht="15" customHeight="1" x14ac:dyDescent="0.35">
      <c r="A4" s="21" t="s">
        <v>267</v>
      </c>
    </row>
    <row r="5" spans="1:3" ht="15" customHeight="1" x14ac:dyDescent="0.35">
      <c r="A5" s="33" t="s">
        <v>268</v>
      </c>
    </row>
    <row r="7" spans="1:3" ht="15" customHeight="1" x14ac:dyDescent="0.35">
      <c r="A7" s="16" t="s">
        <v>269</v>
      </c>
      <c r="B7" s="16" t="s">
        <v>270</v>
      </c>
      <c r="C7" s="16" t="s">
        <v>271</v>
      </c>
    </row>
    <row r="8" spans="1:3" ht="15" customHeight="1" x14ac:dyDescent="0.35">
      <c r="A8" t="s">
        <v>38</v>
      </c>
      <c r="B8" s="20">
        <v>4393</v>
      </c>
      <c r="C8" s="20">
        <v>4213</v>
      </c>
    </row>
    <row r="9" spans="1:3" ht="15" customHeight="1" x14ac:dyDescent="0.35">
      <c r="A9" t="s">
        <v>272</v>
      </c>
      <c r="B9" s="20">
        <v>2525</v>
      </c>
      <c r="C9" s="20">
        <v>2458</v>
      </c>
    </row>
    <row r="10" spans="1:3" ht="15" customHeight="1" x14ac:dyDescent="0.35">
      <c r="A10" t="s">
        <v>40</v>
      </c>
      <c r="B10" s="20">
        <v>182</v>
      </c>
      <c r="C10" s="20">
        <v>172</v>
      </c>
    </row>
    <row r="11" spans="1:3" ht="15" customHeight="1" x14ac:dyDescent="0.35">
      <c r="A11" t="s">
        <v>41</v>
      </c>
      <c r="B11" s="20">
        <v>7099</v>
      </c>
      <c r="C11" s="20">
        <v>6843</v>
      </c>
    </row>
    <row r="12" spans="1:3" ht="15" customHeight="1" x14ac:dyDescent="0.35">
      <c r="A12" t="s">
        <v>273</v>
      </c>
      <c r="B12" s="20">
        <v>680</v>
      </c>
      <c r="C12" s="20">
        <v>654</v>
      </c>
    </row>
    <row r="13" spans="1:3" ht="15" customHeight="1" x14ac:dyDescent="0.35">
      <c r="A13" t="s">
        <v>274</v>
      </c>
      <c r="B13" s="20">
        <v>2138</v>
      </c>
      <c r="C13" s="20">
        <v>2078</v>
      </c>
    </row>
    <row r="14" spans="1:3" ht="15" customHeight="1" x14ac:dyDescent="0.35">
      <c r="A14" t="s">
        <v>45</v>
      </c>
      <c r="B14" s="20">
        <v>163</v>
      </c>
      <c r="C14" s="20">
        <v>149</v>
      </c>
    </row>
    <row r="15" spans="1:3" ht="15" customHeight="1" x14ac:dyDescent="0.35">
      <c r="A15" t="s">
        <v>275</v>
      </c>
      <c r="B15" s="20">
        <v>111</v>
      </c>
      <c r="C15" s="20">
        <v>106</v>
      </c>
    </row>
    <row r="16" spans="1:3" ht="15" customHeight="1" x14ac:dyDescent="0.35">
      <c r="A16" t="s">
        <v>276</v>
      </c>
      <c r="B16" s="20">
        <v>706</v>
      </c>
      <c r="C16" s="20">
        <v>595</v>
      </c>
    </row>
    <row r="17" spans="1:4" ht="15" customHeight="1" x14ac:dyDescent="0.35">
      <c r="A17" t="s">
        <v>48</v>
      </c>
      <c r="B17" s="20">
        <v>-37</v>
      </c>
      <c r="C17" s="20">
        <v>29</v>
      </c>
    </row>
    <row r="18" spans="1:4" ht="15" customHeight="1" x14ac:dyDescent="0.35">
      <c r="A18" t="s">
        <v>49</v>
      </c>
      <c r="B18" s="20">
        <v>3760</v>
      </c>
      <c r="C18" s="20">
        <v>3611</v>
      </c>
    </row>
    <row r="19" spans="1:4" ht="15" customHeight="1" x14ac:dyDescent="0.35">
      <c r="A19" t="s">
        <v>50</v>
      </c>
      <c r="B19" s="20">
        <v>3338</v>
      </c>
      <c r="C19" s="20">
        <v>3232</v>
      </c>
    </row>
    <row r="20" spans="1:4" ht="15" customHeight="1" x14ac:dyDescent="0.35">
      <c r="A20" t="s">
        <v>51</v>
      </c>
      <c r="B20" s="20">
        <v>409</v>
      </c>
      <c r="C20" s="20">
        <v>390</v>
      </c>
    </row>
    <row r="21" spans="1:4" ht="15" customHeight="1" x14ac:dyDescent="0.35">
      <c r="A21" t="s">
        <v>52</v>
      </c>
      <c r="B21" s="20">
        <v>-6</v>
      </c>
      <c r="C21" s="20">
        <v>-18</v>
      </c>
    </row>
    <row r="22" spans="1:4" ht="15" customHeight="1" x14ac:dyDescent="0.35">
      <c r="A22" t="s">
        <v>53</v>
      </c>
      <c r="B22" s="20">
        <v>2936</v>
      </c>
      <c r="C22" s="20">
        <v>2861</v>
      </c>
    </row>
    <row r="23" spans="1:4" ht="15" customHeight="1" x14ac:dyDescent="0.35">
      <c r="A23" t="s">
        <v>54</v>
      </c>
      <c r="B23" s="20">
        <v>574</v>
      </c>
      <c r="C23" s="20">
        <v>608</v>
      </c>
    </row>
    <row r="24" spans="1:4" ht="15" customHeight="1" x14ac:dyDescent="0.35">
      <c r="A24" t="s">
        <v>55</v>
      </c>
      <c r="B24" s="20">
        <v>2362</v>
      </c>
      <c r="C24" s="20">
        <v>2253</v>
      </c>
    </row>
    <row r="27" spans="1:4" ht="15" customHeight="1" x14ac:dyDescent="0.35">
      <c r="A27" s="21" t="s">
        <v>277</v>
      </c>
    </row>
    <row r="28" spans="1:4" ht="15" customHeight="1" x14ac:dyDescent="0.35">
      <c r="A28" s="16" t="s">
        <v>278</v>
      </c>
      <c r="B28" s="16" t="s">
        <v>279</v>
      </c>
      <c r="C28" s="16" t="s">
        <v>280</v>
      </c>
      <c r="D28" s="16" t="s">
        <v>281</v>
      </c>
    </row>
    <row r="29" spans="1:4" ht="15" customHeight="1" x14ac:dyDescent="0.35">
      <c r="A29" t="s">
        <v>282</v>
      </c>
      <c r="B29" s="27">
        <v>7009</v>
      </c>
      <c r="C29" s="27">
        <v>3156</v>
      </c>
      <c r="D29" s="27">
        <v>2164</v>
      </c>
    </row>
    <row r="30" spans="1:4" ht="15" customHeight="1" x14ac:dyDescent="0.35">
      <c r="A30" t="s">
        <v>283</v>
      </c>
      <c r="B30" s="27">
        <v>6517</v>
      </c>
      <c r="C30" s="27">
        <v>2953</v>
      </c>
      <c r="D30" s="27">
        <v>1980</v>
      </c>
    </row>
    <row r="31" spans="1:4" ht="15" customHeight="1" x14ac:dyDescent="0.35">
      <c r="A31" t="s">
        <v>268</v>
      </c>
      <c r="B31" s="27">
        <v>7099</v>
      </c>
      <c r="C31" s="27">
        <v>3338</v>
      </c>
      <c r="D31" s="27">
        <v>2362</v>
      </c>
    </row>
  </sheetData>
  <pageMargins left="0.75" right="0.75" top="1" bottom="1" header="0.511811023622047" footer="0.511811023622047"/>
  <pageSetup orientation="landscape"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B6B6B"/>
    <pageSetUpPr fitToPage="1"/>
  </sheetPr>
  <dimension ref="A1:H68"/>
  <sheetViews>
    <sheetView zoomScaleNormal="100" workbookViewId="0"/>
  </sheetViews>
  <sheetFormatPr defaultColWidth="8.6328125" defaultRowHeight="14.5" x14ac:dyDescent="0.35"/>
  <cols>
    <col min="1" max="1" width="32" customWidth="1"/>
    <col min="2" max="2" width="14" customWidth="1"/>
    <col min="3" max="3" width="16" customWidth="1"/>
    <col min="4" max="4" width="14" customWidth="1"/>
    <col min="5" max="5" width="16" customWidth="1"/>
    <col min="6" max="6" width="18" customWidth="1"/>
    <col min="7" max="7" width="22" customWidth="1"/>
    <col min="8" max="8" width="16" customWidth="1"/>
  </cols>
  <sheetData>
    <row r="1" spans="1:5" ht="18" customHeight="1" x14ac:dyDescent="0.45">
      <c r="A1" s="9" t="s">
        <v>14</v>
      </c>
    </row>
    <row r="2" spans="1:5" ht="15" customHeight="1" x14ac:dyDescent="0.35">
      <c r="A2" s="5" t="s">
        <v>284</v>
      </c>
    </row>
    <row r="5" spans="1:5" ht="15.75" customHeight="1" x14ac:dyDescent="0.4">
      <c r="A5" s="53" t="s">
        <v>285</v>
      </c>
      <c r="B5" s="39"/>
      <c r="C5" s="39"/>
      <c r="D5" s="39"/>
      <c r="E5" s="39"/>
    </row>
    <row r="7" spans="1:8" ht="15" customHeight="1" x14ac:dyDescent="0.35">
      <c r="A7" s="16" t="s">
        <v>286</v>
      </c>
      <c r="B7" s="16" t="s">
        <v>230</v>
      </c>
      <c r="C7" s="16" t="s">
        <v>287</v>
      </c>
      <c r="D7" s="16" t="s">
        <v>288</v>
      </c>
      <c r="E7" s="16" t="s">
        <v>289</v>
      </c>
      <c r="F7" s="16" t="inlineStr">
        <is>
          <t>FranchisedRevenue</t>
        </is>
      </c>
      <c r="G7" s="16" t="inlineStr">
        <is>
          <t>CompanyOperatedRevenue</t>
        </is>
      </c>
      <c r="H7" s="16" t="inlineStr">
        <is>
          <t>OtherRevenue</t>
        </is>
      </c>
    </row>
    <row r="8" spans="1:8" ht="15" customHeight="1" x14ac:dyDescent="0.35">
      <c r="A8" t="s">
        <v>33</v>
      </c>
      <c r="B8" s="30">
        <f>'3-Statement Model'!B13</f>
        <v>25495</v>
      </c>
      <c r="C8" s="30">
        <f>'3-Statement Model'!B24</f>
        <v>11648</v>
      </c>
      <c r="D8" s="30">
        <f>'3-Statement Model'!B31</f>
        <v>8470</v>
      </c>
      <c r="E8" s="44">
        <f>'3-Statement Model'!B33</f>
        <v>0.45687389684251817</v>
      </c>
      <c r="F8" s="30">
        <f>'3-Statement Model'!B10</f>
        <v>15437</v>
      </c>
      <c r="G8" s="30">
        <f>'3-Statement Model'!B11</f>
        <v>9742</v>
      </c>
      <c r="H8" s="30">
        <f>'3-Statement Model'!B12</f>
        <v>316</v>
      </c>
    </row>
    <row r="9" spans="1:8" ht="15" customHeight="1" x14ac:dyDescent="0.35">
      <c r="A9" t="s">
        <v>34</v>
      </c>
      <c r="B9" s="30">
        <f>'3-Statement Model'!C13</f>
        <v>25920</v>
      </c>
      <c r="C9" s="30">
        <f>'3-Statement Model'!C24</f>
        <v>11713</v>
      </c>
      <c r="D9" s="30">
        <f>'3-Statement Model'!C31</f>
        <v>8225</v>
      </c>
      <c r="E9" s="44">
        <f>'3-Statement Model'!C33</f>
        <v>0.45189043209876545</v>
      </c>
      <c r="F9" s="30">
        <f>'3-Statement Model'!C10</f>
        <v>15715</v>
      </c>
      <c r="G9" s="30">
        <f>'3-Statement Model'!C11</f>
        <v>9782</v>
      </c>
      <c r="H9" s="30">
        <f>'3-Statement Model'!C12</f>
        <v>423</v>
      </c>
    </row>
    <row r="10" spans="1:8" ht="15" customHeight="1" x14ac:dyDescent="0.35">
      <c r="A10" t="s">
        <v>35</v>
      </c>
      <c r="B10" s="30">
        <f>'3-Statement Model'!D13</f>
        <v>26885</v>
      </c>
      <c r="C10" s="30">
        <f>'3-Statement Model'!D24</f>
        <v>12393</v>
      </c>
      <c r="D10" s="30">
        <f>'3-Statement Model'!D31</f>
        <v>8564</v>
      </c>
      <c r="E10" s="44">
        <f>'3-Statement Model'!D33</f>
        <v>0.4609633624697787</v>
      </c>
      <c r="F10" s="30">
        <f>'3-Statement Model'!D10</f>
        <v>16548</v>
      </c>
      <c r="G10" s="30">
        <f>'3-Statement Model'!D11</f>
        <v>9690</v>
      </c>
      <c r="H10" s="30">
        <f>'3-Statement Model'!D12</f>
        <v>647</v>
      </c>
    </row>
    <row r="13" spans="1:5" ht="15.75" customHeight="1" x14ac:dyDescent="0.4">
      <c r="A13" s="53" t="s">
        <v>290</v>
      </c>
      <c r="B13" s="39"/>
      <c r="C13" s="39"/>
      <c r="D13" s="39"/>
      <c r="E13" s="39"/>
    </row>
    <row r="15" spans="1:5" ht="15" customHeight="1" x14ac:dyDescent="0.35">
      <c r="A15" s="16" t="s">
        <v>291</v>
      </c>
      <c r="B15" s="16" t="s">
        <v>286</v>
      </c>
      <c r="C15" s="16" t="s">
        <v>230</v>
      </c>
      <c r="D15" s="16" t="s">
        <v>287</v>
      </c>
      <c r="E15" s="16" t="s">
        <v>292</v>
      </c>
    </row>
    <row r="16" spans="1:5" ht="15" customHeight="1" x14ac:dyDescent="0.35">
      <c r="A16" t="s">
        <v>138</v>
      </c>
      <c r="B16" t="s">
        <v>34</v>
      </c>
      <c r="C16" s="30">
        <f>'Segment and Margin Analysis'!C10</f>
        <v>10631</v>
      </c>
      <c r="D16" s="30">
        <f>'Segment and Margin Analysis'!C16</f>
        <v>5733</v>
      </c>
      <c r="E16" s="44">
        <f>'Segment and Margin Analysis'!C22</f>
        <v>0.53927194055121819</v>
      </c>
    </row>
    <row r="17" spans="1:5" ht="15" customHeight="1" x14ac:dyDescent="0.35">
      <c r="A17" t="s">
        <v>138</v>
      </c>
      <c r="B17" t="s">
        <v>35</v>
      </c>
      <c r="C17" s="30">
        <f>'Segment and Margin Analysis'!D10</f>
        <v>10825</v>
      </c>
      <c r="D17" s="30">
        <f>'Segment and Margin Analysis'!D16</f>
        <v>5808</v>
      </c>
      <c r="E17" s="44">
        <f>'Segment and Margin Analysis'!D22</f>
        <v>0.53653579676674368</v>
      </c>
    </row>
    <row r="18" spans="1:5" ht="15" customHeight="1" x14ac:dyDescent="0.35">
      <c r="A18" t="s">
        <v>139</v>
      </c>
      <c r="B18" t="s">
        <v>34</v>
      </c>
      <c r="C18" s="30">
        <f>'Segment and Margin Analysis'!C11</f>
        <v>12628</v>
      </c>
      <c r="D18" s="30">
        <f>'Segment and Margin Analysis'!C17</f>
        <v>5946</v>
      </c>
      <c r="E18" s="44">
        <f>'Segment and Margin Analysis'!C23</f>
        <v>0.47085840988280014</v>
      </c>
    </row>
    <row r="19" spans="1:5" ht="15" customHeight="1" x14ac:dyDescent="0.35">
      <c r="A19" t="s">
        <v>139</v>
      </c>
      <c r="B19" t="s">
        <v>35</v>
      </c>
      <c r="C19" s="30">
        <f>'Segment and Margin Analysis'!D11</f>
        <v>13633</v>
      </c>
      <c r="D19" s="30">
        <f>'Segment and Margin Analysis'!D17</f>
        <v>6382</v>
      </c>
      <c r="E19" s="44">
        <f>'Segment and Margin Analysis'!D23</f>
        <v>0.46812880510525928</v>
      </c>
    </row>
    <row r="20" spans="1:5" ht="15" customHeight="1" x14ac:dyDescent="0.35">
      <c r="A20" t="s">
        <v>140</v>
      </c>
      <c r="B20" t="s">
        <v>34</v>
      </c>
      <c r="C20" s="30">
        <f>'Segment and Margin Analysis'!C12</f>
        <v>2661</v>
      </c>
      <c r="D20" s="30">
        <f>'Segment and Margin Analysis'!C18</f>
        <v>33</v>
      </c>
      <c r="E20" s="44">
        <f>'Segment and Margin Analysis'!C24</f>
        <v>1.2401352874859075E-2</v>
      </c>
    </row>
    <row r="21" spans="1:5" ht="15" customHeight="1" x14ac:dyDescent="0.35">
      <c r="A21" t="s">
        <v>140</v>
      </c>
      <c r="B21" t="s">
        <v>35</v>
      </c>
      <c r="C21" s="30">
        <f>'Segment and Margin Analysis'!D12</f>
        <v>2427</v>
      </c>
      <c r="D21" s="30">
        <f>'Segment and Margin Analysis'!D18</f>
        <v>203</v>
      </c>
      <c r="E21" s="44">
        <f>'Segment and Margin Analysis'!D24</f>
        <v>8.3642356819118246E-2</v>
      </c>
    </row>
    <row r="24" spans="1:5" ht="15.75" customHeight="1" x14ac:dyDescent="0.4">
      <c r="A24" s="53" t="s">
        <v>293</v>
      </c>
      <c r="B24" s="39"/>
      <c r="C24" s="39"/>
      <c r="D24" s="39"/>
      <c r="E24" s="39"/>
    </row>
    <row r="26" spans="1:5" ht="15" customHeight="1" x14ac:dyDescent="0.35">
      <c r="A26" s="16" t="s">
        <v>291</v>
      </c>
      <c r="B26" s="16" t="s">
        <v>294</v>
      </c>
      <c r="C26" s="16" t="s">
        <v>295</v>
      </c>
    </row>
    <row r="27" spans="1:5" ht="15" customHeight="1" x14ac:dyDescent="0.35">
      <c r="A27" t="s">
        <v>138</v>
      </c>
      <c r="B27" s="42">
        <f>'Segment and Margin Analysis'!C51</f>
        <v>-4.0476280321433879E-3</v>
      </c>
      <c r="C27" s="42">
        <f>'Segment and Margin Analysis'!E51</f>
        <v>-1.1016833352031454E-3</v>
      </c>
    </row>
    <row r="28" spans="1:5" ht="15" customHeight="1" x14ac:dyDescent="0.35">
      <c r="A28" t="s">
        <v>139</v>
      </c>
      <c r="B28" s="42">
        <f>'Segment and Margin Analysis'!C52</f>
        <v>9.3674349625906747E-3</v>
      </c>
      <c r="C28" s="42">
        <f>'Segment and Margin Analysis'!E52</f>
        <v>-1.3841436463535267E-3</v>
      </c>
    </row>
    <row r="29" spans="1:5" ht="15" customHeight="1" x14ac:dyDescent="0.35">
      <c r="A29" t="s">
        <v>140</v>
      </c>
      <c r="B29" s="42">
        <f>'Segment and Margin Analysis'!C53</f>
        <v>-1.5363602513222938E-4</v>
      </c>
      <c r="C29" s="42">
        <f>'Segment and Margin Analysis'!E53</f>
        <v>6.4311666941683837E-3</v>
      </c>
    </row>
    <row r="32" spans="1:5" ht="15.75" customHeight="1" x14ac:dyDescent="0.4">
      <c r="A32" s="53" t="s">
        <v>296</v>
      </c>
      <c r="B32" s="39"/>
      <c r="C32" s="39"/>
      <c r="D32" s="39"/>
      <c r="E32" s="39"/>
    </row>
    <row r="34" spans="1:2" ht="15" customHeight="1" x14ac:dyDescent="0.35">
      <c r="A34" s="16" t="s">
        <v>297</v>
      </c>
      <c r="B34" s="16" t="s">
        <v>298</v>
      </c>
    </row>
    <row r="35" spans="1:2" ht="15" customHeight="1" x14ac:dyDescent="0.35">
      <c r="A35" t="s">
        <v>299</v>
      </c>
      <c r="B35" s="54">
        <f>Valuation!B71</f>
        <v>172165.09963143498</v>
      </c>
    </row>
    <row r="36" spans="1:2" ht="15" customHeight="1" x14ac:dyDescent="0.35">
      <c r="A36" t="s">
        <v>300</v>
      </c>
      <c r="B36" s="55">
        <f>Valuation!B79</f>
        <v>185.60315414773169</v>
      </c>
    </row>
    <row r="37" spans="1:2" ht="15" customHeight="1" x14ac:dyDescent="0.35">
      <c r="A37" t="s">
        <v>301</v>
      </c>
      <c r="B37" s="55">
        <f>Valuation!B80</f>
        <v>307</v>
      </c>
    </row>
    <row r="38" spans="1:2" ht="15" customHeight="1" x14ac:dyDescent="0.35">
      <c r="A38" t="s">
        <v>220</v>
      </c>
      <c r="B38" s="42">
        <f>Valuation!B45</f>
        <v>6.8526650481477727E-2</v>
      </c>
    </row>
    <row r="39" spans="1:2" ht="15" customHeight="1" x14ac:dyDescent="0.35">
      <c r="A39" t="s">
        <v>302</v>
      </c>
      <c r="B39" s="42">
        <f>Valuation!B46</f>
        <v>2.5000000000000001E-2</v>
      </c>
    </row>
    <row r="40" spans="1:2" ht="15" customHeight="1" x14ac:dyDescent="0.35">
      <c r="A40" t="s">
        <v>303</v>
      </c>
      <c r="B40" s="44">
        <f>Valuation!B81</f>
        <v>-0.39542946531683487</v>
      </c>
    </row>
    <row r="43" spans="1:3" ht="15" customHeight="1" x14ac:dyDescent="0.35">
      <c r="A43" s="16" t="inlineStr">
        <is>
          <t>WACC</t>
        </is>
      </c>
      <c r="B43" s="16" t="inlineStr">
        <is>
          <t>TerminalGrowth</t>
        </is>
      </c>
      <c r="C43" s="16" t="inlineStr">
        <is>
          <t>EnterpriseValue</t>
        </is>
      </c>
    </row>
    <row r="44" spans="1:3" ht="15" customHeight="1" x14ac:dyDescent="0.35">
      <c r="A44" s="44">
        <f>Valuation!A87</f>
        <v>0.0585</v>
      </c>
      <c r="B44" s="44">
        <f>Valuation!B86</f>
        <v>0.015</v>
      </c>
      <c r="C44" s="30">
        <f>Valuation!B87</f>
        <v>178493.197719694</v>
      </c>
    </row>
    <row r="45" spans="1:3" ht="15" customHeight="1" x14ac:dyDescent="0.35">
      <c r="A45" s="44">
        <f>Valuation!A87</f>
        <v>0.0585</v>
      </c>
      <c r="B45" s="44">
        <f>Valuation!C86</f>
        <v>0.02</v>
      </c>
      <c r="C45" s="30">
        <f>Valuation!C87</f>
        <v>198257.59202360496</v>
      </c>
    </row>
    <row r="46" spans="1:3" ht="15" customHeight="1" x14ac:dyDescent="0.35">
      <c r="A46" s="44">
        <f>Valuation!A87</f>
        <v>0.0585</v>
      </c>
      <c r="B46" s="44">
        <f>Valuation!D86</f>
        <v>0.025</v>
      </c>
      <c r="C46" s="30">
        <f>Valuation!D87</f>
        <v>223921.8055227131</v>
      </c>
    </row>
    <row r="47" spans="1:3" ht="15" customHeight="1" x14ac:dyDescent="0.35">
      <c r="A47" s="44">
        <f>Valuation!A87</f>
        <v>0.0585</v>
      </c>
      <c r="B47" s="44">
        <f>Valuation!E86</f>
        <v>0.03</v>
      </c>
      <c r="C47" s="30">
        <f>Valuation!E87</f>
        <v>258591.0062144908</v>
      </c>
    </row>
    <row r="48" spans="1:3" ht="15" customHeight="1" x14ac:dyDescent="0.35">
      <c r="A48" s="44">
        <f>Valuation!A87</f>
        <v>0.0585</v>
      </c>
      <c r="B48" s="44">
        <f>Valuation!F86</f>
        <v>0.035</v>
      </c>
      <c r="C48" s="30">
        <f>Valuation!F87</f>
        <v>308013.05826447177</v>
      </c>
    </row>
    <row r="49" spans="1:3" ht="15" customHeight="1" x14ac:dyDescent="0.35">
      <c r="A49" s="44">
        <f>Valuation!A88</f>
        <v>0.0635</v>
      </c>
      <c r="B49" s="44">
        <f>Valuation!B86</f>
        <v>0.015</v>
      </c>
      <c r="C49" s="30">
        <f>Valuation!B88</f>
        <v>159949.9912358058</v>
      </c>
    </row>
    <row r="50" spans="1:3" ht="15" customHeight="1" x14ac:dyDescent="0.35">
      <c r="A50" s="44">
        <f>Valuation!A88</f>
        <v>0.0635</v>
      </c>
      <c r="B50" s="44">
        <f>Valuation!C86</f>
        <v>0.02</v>
      </c>
      <c r="C50" s="30">
        <f>Valuation!C88</f>
        <v>175346.27734332654</v>
      </c>
    </row>
    <row r="51" spans="1:3" ht="15" customHeight="1" x14ac:dyDescent="0.35">
      <c r="A51" s="44">
        <f>Valuation!A88</f>
        <v>0.0635</v>
      </c>
      <c r="B51" s="44">
        <f>Valuation!D86</f>
        <v>0.025</v>
      </c>
      <c r="C51" s="30">
        <f>Valuation!D88</f>
        <v>194741.59880344995</v>
      </c>
    </row>
    <row r="52" spans="1:3" ht="15" customHeight="1" x14ac:dyDescent="0.35">
      <c r="A52" s="44">
        <f>Valuation!A88</f>
        <v>0.0635</v>
      </c>
      <c r="B52" s="44">
        <f>Valuation!E86</f>
        <v>0.03</v>
      </c>
      <c r="C52" s="30">
        <f>Valuation!E88</f>
        <v>219926.5684606252</v>
      </c>
    </row>
    <row r="53" spans="1:3" ht="15" customHeight="1" x14ac:dyDescent="0.35">
      <c r="A53" s="44">
        <f>Valuation!A88</f>
        <v>0.0635</v>
      </c>
      <c r="B53" s="44">
        <f>Valuation!F86</f>
        <v>0.035</v>
      </c>
      <c r="C53" s="30">
        <f>Valuation!F88</f>
        <v>253948.36957645835</v>
      </c>
    </row>
    <row r="54" spans="1:3" ht="15" customHeight="1" x14ac:dyDescent="0.35">
      <c r="A54" s="44">
        <f>Valuation!A89</f>
        <v>0.0685</v>
      </c>
      <c r="B54" s="44">
        <f>Valuation!B86</f>
        <v>0.015</v>
      </c>
      <c r="C54" s="30">
        <f>Valuation!B89</f>
        <v>144875.12010019706</v>
      </c>
    </row>
    <row r="55" spans="1:3" ht="15" customHeight="1" x14ac:dyDescent="0.35">
      <c r="A55" s="44">
        <f>Valuation!A89</f>
        <v>0.0685</v>
      </c>
      <c r="B55" s="44">
        <f>Valuation!C86</f>
        <v>0.02</v>
      </c>
      <c r="C55" s="30">
        <f>Valuation!C89</f>
        <v>157160.91663910437</v>
      </c>
    </row>
    <row r="56" spans="1:3" ht="15" customHeight="1" x14ac:dyDescent="0.35">
      <c r="A56" s="44">
        <f>Valuation!A89</f>
        <v>0.0685</v>
      </c>
      <c r="B56" s="44">
        <f>Valuation!D86</f>
        <v>0.025</v>
      </c>
      <c r="C56" s="30">
        <f>Valuation!D89</f>
        <v>172271.03422143852</v>
      </c>
    </row>
    <row r="57" spans="1:3" ht="15" customHeight="1" x14ac:dyDescent="0.35">
      <c r="A57" s="44">
        <f>Valuation!A89</f>
        <v>0.0685</v>
      </c>
      <c r="B57" s="44">
        <f>Valuation!E86</f>
        <v>0.03</v>
      </c>
      <c r="C57" s="30">
        <f>Valuation!E89</f>
        <v>191305.85766931408</v>
      </c>
    </row>
    <row r="58" spans="1:3" ht="15" customHeight="1" x14ac:dyDescent="0.35">
      <c r="A58" s="44">
        <f>Valuation!A89</f>
        <v>0.0685</v>
      </c>
      <c r="B58" s="44">
        <f>Valuation!F86</f>
        <v>0.035</v>
      </c>
      <c r="C58" s="30">
        <f>Valuation!F89</f>
        <v>216022.71796730175</v>
      </c>
    </row>
    <row r="59" spans="1:3" ht="15" customHeight="1" x14ac:dyDescent="0.35">
      <c r="A59" s="44">
        <f>Valuation!A90</f>
        <v>0.0735</v>
      </c>
      <c r="B59" s="44">
        <f>Valuation!B86</f>
        <v>0.015</v>
      </c>
      <c r="C59" s="30">
        <f>Valuation!B90</f>
        <v>132379.21713267895</v>
      </c>
    </row>
    <row r="60" spans="1:3" ht="15" customHeight="1" x14ac:dyDescent="0.35">
      <c r="A60" s="44">
        <f>Valuation!A90</f>
        <v>0.0735</v>
      </c>
      <c r="B60" s="44">
        <f>Valuation!C86</f>
        <v>0.02</v>
      </c>
      <c r="C60" s="30">
        <f>Valuation!C90</f>
        <v>142376.43374687436</v>
      </c>
    </row>
    <row r="61" spans="1:3" ht="15" customHeight="1" x14ac:dyDescent="0.35">
      <c r="A61" s="44">
        <f>Valuation!A90</f>
        <v>0.0735</v>
      </c>
      <c r="B61" s="44">
        <f>Valuation!D86</f>
        <v>0.025</v>
      </c>
      <c r="C61" s="30">
        <f>Valuation!D90</f>
        <v>154434.9321371925</v>
      </c>
    </row>
    <row r="62" spans="1:3" ht="15" customHeight="1" x14ac:dyDescent="0.35">
      <c r="A62" s="44">
        <f>Valuation!A90</f>
        <v>0.0735</v>
      </c>
      <c r="B62" s="44">
        <f>Valuation!E86</f>
        <v>0.03</v>
      </c>
      <c r="C62" s="30">
        <f>Valuation!E90</f>
        <v>169265.49912298605</v>
      </c>
    </row>
    <row r="63" spans="1:3" ht="15" customHeight="1" x14ac:dyDescent="0.35">
      <c r="A63" s="44">
        <f>Valuation!A90</f>
        <v>0.0735</v>
      </c>
      <c r="B63" s="44">
        <f>Valuation!F86</f>
        <v>0.035</v>
      </c>
      <c r="C63" s="30">
        <f>Valuation!F90</f>
        <v>187948.16142976494</v>
      </c>
    </row>
    <row r="64" spans="1:3" ht="15" customHeight="1" x14ac:dyDescent="0.35">
      <c r="A64" s="44">
        <f>Valuation!A91</f>
        <v>0.0785</v>
      </c>
      <c r="B64" s="44">
        <f>Valuation!B86</f>
        <v>0.015</v>
      </c>
      <c r="C64" s="30">
        <f>Valuation!B91</f>
        <v>121853.03215111588</v>
      </c>
    </row>
    <row r="65" spans="1:3" ht="15" customHeight="1" x14ac:dyDescent="0.35">
      <c r="A65" s="44">
        <f>Valuation!A91</f>
        <v>0.0785</v>
      </c>
      <c r="B65" s="44">
        <f>Valuation!C86</f>
        <v>0.02</v>
      </c>
      <c r="C65" s="30">
        <f>Valuation!C91</f>
        <v>130120.77111639042</v>
      </c>
    </row>
    <row r="66" spans="1:3" ht="15" customHeight="1" x14ac:dyDescent="0.35">
      <c r="A66" s="44">
        <f>Valuation!A91</f>
        <v>0.0785</v>
      </c>
      <c r="B66" s="44">
        <f>Valuation!D86</f>
        <v>0.025</v>
      </c>
      <c r="C66" s="30">
        <f>Valuation!D91</f>
        <v>139933.8818508751</v>
      </c>
    </row>
    <row r="67" spans="1:3" ht="15" customHeight="1" x14ac:dyDescent="0.35">
      <c r="A67" s="44">
        <f>Valuation!A91</f>
        <v>0.0785</v>
      </c>
      <c r="B67" s="44">
        <f>Valuation!E86</f>
        <v>0.03</v>
      </c>
      <c r="C67" s="30">
        <f>Valuation!E91</f>
        <v>151770.31438628447</v>
      </c>
    </row>
    <row r="68" spans="1:3" ht="15" customHeight="1" x14ac:dyDescent="0.35">
      <c r="A68" s="44">
        <f>Valuation!A91</f>
        <v>0.0785</v>
      </c>
      <c r="B68" s="44">
        <f>Valuation!F86</f>
        <v>0.035</v>
      </c>
      <c r="C68" s="30">
        <f>Valuation!F91</f>
        <v>166327.7658953512</v>
      </c>
    </row>
  </sheetData>
  <pageMargins left="0.75" right="0.75" top="1" bottom="1" header="0.511811023622047" footer="0.511811023622047"/>
  <pageSetup paperSize="9" fitToHeight="0" orientation="landscape" horizontalDpi="300" verticalDpi="300"/>
  <tableParts count="5">
    <tablePart r:id="rId1"/>
    <tablePart r:id="rId2"/>
    <tablePart r:id="rId3"/>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FD36F4E-4E9C-4B16-BBF0-D15ADB4D944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Cover</vt:lpstr>
      <vt:lpstr>3-Statement Model</vt:lpstr>
      <vt:lpstr>Supporting Schedules</vt:lpstr>
      <vt:lpstr>Segment and Margin Analysis</vt:lpstr>
      <vt:lpstr>Valuation</vt:lpstr>
      <vt:lpstr>StagingData</vt:lpstr>
      <vt:lpstr>PQ Staging</vt:lpstr>
      <vt:lpstr>Power BI Source Data</vt:lpstr>
      <vt:lpstr>CurrentQuarter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Kaushal Jaiswal</cp:lastModifiedBy>
  <cp:revision>23</cp:revision>
  <dcterms:created xsi:type="dcterms:W3CDTF">2026-09-12T18:24:17Z</dcterms:created>
  <dcterms:modified xsi:type="dcterms:W3CDTF">2026-09-13T11:23:31Z</dcterms:modified>
  <dc:language>en-US</dc:language>
</cp:coreProperties>
</file>